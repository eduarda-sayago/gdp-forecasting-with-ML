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5E0AE908EB1AF8/Documentos/GitHub/gdp-forecasting-with-ML/"/>
    </mc:Choice>
  </mc:AlternateContent>
  <xr:revisionPtr revIDLastSave="51" documentId="11_1C775ECC8F79A8536E3CA493EA7BD272DAC75449" xr6:coauthVersionLast="47" xr6:coauthVersionMax="47" xr10:uidLastSave="{2EB918D3-57B4-41D0-8072-6EBF9818F30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U14" i="1"/>
  <c r="AB14" i="1"/>
  <c r="S29" i="1"/>
  <c r="Z29" i="1" s="1"/>
  <c r="R29" i="1"/>
  <c r="Q29" i="1"/>
  <c r="P29" i="1"/>
  <c r="O29" i="1"/>
  <c r="N29" i="1"/>
  <c r="M29" i="1"/>
  <c r="L29" i="1"/>
  <c r="S28" i="1"/>
  <c r="R28" i="1"/>
  <c r="Q28" i="1"/>
  <c r="P28" i="1"/>
  <c r="O28" i="1"/>
  <c r="N28" i="1"/>
  <c r="M28" i="1"/>
  <c r="L28" i="1"/>
  <c r="Y27" i="1"/>
  <c r="S27" i="1"/>
  <c r="R27" i="1"/>
  <c r="Q27" i="1"/>
  <c r="P27" i="1"/>
  <c r="O27" i="1"/>
  <c r="N27" i="1"/>
  <c r="M27" i="1"/>
  <c r="X27" i="1" s="1"/>
  <c r="L27" i="1"/>
  <c r="Y26" i="1"/>
  <c r="S26" i="1"/>
  <c r="R26" i="1"/>
  <c r="Q26" i="1"/>
  <c r="P26" i="1"/>
  <c r="O26" i="1"/>
  <c r="N26" i="1"/>
  <c r="M26" i="1"/>
  <c r="X26" i="1" s="1"/>
  <c r="L26" i="1"/>
  <c r="U26" i="1" s="1"/>
  <c r="S25" i="1"/>
  <c r="R25" i="1"/>
  <c r="Q25" i="1"/>
  <c r="P25" i="1"/>
  <c r="O25" i="1"/>
  <c r="N25" i="1"/>
  <c r="M25" i="1"/>
  <c r="Z25" i="1" s="1"/>
  <c r="L25" i="1"/>
  <c r="S24" i="1"/>
  <c r="R24" i="1"/>
  <c r="Q24" i="1"/>
  <c r="P24" i="1"/>
  <c r="O24" i="1"/>
  <c r="N24" i="1"/>
  <c r="M24" i="1"/>
  <c r="X24" i="1" s="1"/>
  <c r="L24" i="1"/>
  <c r="S23" i="1"/>
  <c r="R23" i="1"/>
  <c r="Y23" i="1" s="1"/>
  <c r="Q23" i="1"/>
  <c r="P23" i="1"/>
  <c r="O23" i="1"/>
  <c r="N23" i="1"/>
  <c r="M23" i="1"/>
  <c r="X23" i="1" s="1"/>
  <c r="L23" i="1"/>
  <c r="X22" i="1"/>
  <c r="S22" i="1"/>
  <c r="R22" i="1"/>
  <c r="Q22" i="1"/>
  <c r="P22" i="1"/>
  <c r="O22" i="1"/>
  <c r="N22" i="1"/>
  <c r="M22" i="1"/>
  <c r="L22" i="1"/>
  <c r="U22" i="1" s="1"/>
  <c r="S21" i="1"/>
  <c r="R21" i="1"/>
  <c r="Q21" i="1"/>
  <c r="P21" i="1"/>
  <c r="O21" i="1"/>
  <c r="N21" i="1"/>
  <c r="M21" i="1"/>
  <c r="Z21" i="1" s="1"/>
  <c r="L21" i="1"/>
  <c r="S20" i="1"/>
  <c r="R20" i="1"/>
  <c r="Q20" i="1"/>
  <c r="P20" i="1"/>
  <c r="O20" i="1"/>
  <c r="N20" i="1"/>
  <c r="M20" i="1"/>
  <c r="X20" i="1" s="1"/>
  <c r="L20" i="1"/>
  <c r="W20" i="1" s="1"/>
  <c r="S19" i="1"/>
  <c r="R19" i="1"/>
  <c r="Q19" i="1"/>
  <c r="P19" i="1"/>
  <c r="W19" i="1" s="1"/>
  <c r="O19" i="1"/>
  <c r="N19" i="1"/>
  <c r="M19" i="1"/>
  <c r="X19" i="1" s="1"/>
  <c r="L19" i="1"/>
  <c r="U19" i="1" s="1"/>
  <c r="S18" i="1"/>
  <c r="R18" i="1"/>
  <c r="Q18" i="1"/>
  <c r="P18" i="1"/>
  <c r="O18" i="1"/>
  <c r="N18" i="1"/>
  <c r="M18" i="1"/>
  <c r="X18" i="1" s="1"/>
  <c r="L18" i="1"/>
  <c r="S17" i="1"/>
  <c r="R17" i="1"/>
  <c r="Q17" i="1"/>
  <c r="P17" i="1"/>
  <c r="O17" i="1"/>
  <c r="N17" i="1"/>
  <c r="M17" i="1"/>
  <c r="X17" i="1" s="1"/>
  <c r="L17" i="1"/>
  <c r="U17" i="1" s="1"/>
  <c r="X16" i="1"/>
  <c r="S16" i="1"/>
  <c r="R16" i="1"/>
  <c r="Q16" i="1"/>
  <c r="P16" i="1"/>
  <c r="O16" i="1"/>
  <c r="N16" i="1"/>
  <c r="M16" i="1"/>
  <c r="V16" i="1" s="1"/>
  <c r="L16" i="1"/>
  <c r="W16" i="1" s="1"/>
  <c r="S15" i="1"/>
  <c r="R15" i="1"/>
  <c r="Q15" i="1"/>
  <c r="P15" i="1"/>
  <c r="O15" i="1"/>
  <c r="N15" i="1"/>
  <c r="M15" i="1"/>
  <c r="Z15" i="1" s="1"/>
  <c r="L15" i="1"/>
  <c r="U15" i="1" s="1"/>
  <c r="S14" i="1"/>
  <c r="R14" i="1"/>
  <c r="Q14" i="1"/>
  <c r="P14" i="1"/>
  <c r="W14" i="1" s="1"/>
  <c r="O14" i="1"/>
  <c r="N14" i="1"/>
  <c r="V14" i="1"/>
  <c r="L14" i="1"/>
  <c r="Y14" i="1" s="1"/>
  <c r="S13" i="1"/>
  <c r="R13" i="1"/>
  <c r="Q13" i="1"/>
  <c r="P13" i="1"/>
  <c r="W13" i="1" s="1"/>
  <c r="O13" i="1"/>
  <c r="N13" i="1"/>
  <c r="M13" i="1"/>
  <c r="Z13" i="1" s="1"/>
  <c r="L13" i="1"/>
  <c r="U13" i="1" s="1"/>
  <c r="X12" i="1"/>
  <c r="S12" i="1"/>
  <c r="R12" i="1"/>
  <c r="Q12" i="1"/>
  <c r="P12" i="1"/>
  <c r="O12" i="1"/>
  <c r="N12" i="1"/>
  <c r="M12" i="1"/>
  <c r="L12" i="1"/>
  <c r="U12" i="1" s="1"/>
  <c r="X11" i="1"/>
  <c r="S11" i="1"/>
  <c r="R11" i="1"/>
  <c r="Q11" i="1"/>
  <c r="P11" i="1"/>
  <c r="O11" i="1"/>
  <c r="N11" i="1"/>
  <c r="M11" i="1"/>
  <c r="L11" i="1"/>
  <c r="U11" i="1" s="1"/>
  <c r="S10" i="1"/>
  <c r="R10" i="1"/>
  <c r="Q10" i="1"/>
  <c r="P10" i="1"/>
  <c r="O10" i="1"/>
  <c r="N10" i="1"/>
  <c r="M10" i="1"/>
  <c r="X10" i="1" s="1"/>
  <c r="L10" i="1"/>
  <c r="Y10" i="1" s="1"/>
  <c r="S9" i="1"/>
  <c r="R9" i="1"/>
  <c r="Q9" i="1"/>
  <c r="P9" i="1"/>
  <c r="O9" i="1"/>
  <c r="N9" i="1"/>
  <c r="M9" i="1"/>
  <c r="X9" i="1" s="1"/>
  <c r="L9" i="1"/>
  <c r="U9" i="1" s="1"/>
  <c r="S8" i="1"/>
  <c r="R8" i="1"/>
  <c r="Q8" i="1"/>
  <c r="P8" i="1"/>
  <c r="O8" i="1"/>
  <c r="N8" i="1"/>
  <c r="M8" i="1"/>
  <c r="V8" i="1" s="1"/>
  <c r="L8" i="1"/>
  <c r="Y8" i="1" s="1"/>
  <c r="S7" i="1"/>
  <c r="R7" i="1"/>
  <c r="Q7" i="1"/>
  <c r="P7" i="1"/>
  <c r="O7" i="1"/>
  <c r="N7" i="1"/>
  <c r="M7" i="1"/>
  <c r="X7" i="1" s="1"/>
  <c r="L7" i="1"/>
  <c r="U7" i="1" s="1"/>
  <c r="S6" i="1"/>
  <c r="R6" i="1"/>
  <c r="Q6" i="1"/>
  <c r="P6" i="1"/>
  <c r="O6" i="1"/>
  <c r="N6" i="1"/>
  <c r="M6" i="1"/>
  <c r="V6" i="1" s="1"/>
  <c r="L6" i="1"/>
  <c r="Y6" i="1" s="1"/>
  <c r="Y5" i="1"/>
  <c r="S5" i="1"/>
  <c r="R5" i="1"/>
  <c r="Q5" i="1"/>
  <c r="P5" i="1"/>
  <c r="O5" i="1"/>
  <c r="N5" i="1"/>
  <c r="M5" i="1"/>
  <c r="X5" i="1" s="1"/>
  <c r="L5" i="1"/>
  <c r="U5" i="1" s="1"/>
  <c r="S4" i="1"/>
  <c r="R4" i="1"/>
  <c r="Q4" i="1"/>
  <c r="X4" i="1" s="1"/>
  <c r="P4" i="1"/>
  <c r="O4" i="1"/>
  <c r="N4" i="1"/>
  <c r="M4" i="1"/>
  <c r="V4" i="1" s="1"/>
  <c r="L4" i="1"/>
  <c r="Y4" i="1" s="1"/>
  <c r="S3" i="1"/>
  <c r="R3" i="1"/>
  <c r="Q3" i="1"/>
  <c r="P3" i="1"/>
  <c r="O3" i="1"/>
  <c r="N3" i="1"/>
  <c r="M3" i="1"/>
  <c r="X3" i="1" s="1"/>
  <c r="L3" i="1"/>
  <c r="U3" i="1" s="1"/>
  <c r="S2" i="1"/>
  <c r="R2" i="1"/>
  <c r="Q2" i="1"/>
  <c r="X2" i="1" s="1"/>
  <c r="P2" i="1"/>
  <c r="O2" i="1"/>
  <c r="N2" i="1"/>
  <c r="M2" i="1"/>
  <c r="V2" i="1" s="1"/>
  <c r="L2" i="1"/>
  <c r="Y2" i="1" s="1"/>
  <c r="W7" i="1" l="1"/>
  <c r="X13" i="1"/>
  <c r="AE20" i="1" s="1"/>
  <c r="Z28" i="1"/>
  <c r="Z2" i="1"/>
  <c r="AG4" i="1" s="1"/>
  <c r="Y7" i="1"/>
  <c r="Y13" i="1"/>
  <c r="Y18" i="1"/>
  <c r="Y24" i="1"/>
  <c r="W3" i="1"/>
  <c r="Z8" i="1"/>
  <c r="W11" i="1"/>
  <c r="X14" i="1"/>
  <c r="Y20" i="1"/>
  <c r="W22" i="1"/>
  <c r="W25" i="1"/>
  <c r="X25" i="1"/>
  <c r="Y3" i="1"/>
  <c r="AF17" i="1" s="1"/>
  <c r="W9" i="1"/>
  <c r="W12" i="1"/>
  <c r="W15" i="1"/>
  <c r="Y19" i="1"/>
  <c r="Y21" i="1"/>
  <c r="W26" i="1"/>
  <c r="Z4" i="1"/>
  <c r="X6" i="1"/>
  <c r="AE12" i="1" s="1"/>
  <c r="Y9" i="1"/>
  <c r="AF21" i="1" s="1"/>
  <c r="Y11" i="1"/>
  <c r="X15" i="1"/>
  <c r="W5" i="1"/>
  <c r="Y12" i="1"/>
  <c r="Y15" i="1"/>
  <c r="X21" i="1"/>
  <c r="AE21" i="1" s="1"/>
  <c r="Z27" i="1"/>
  <c r="Z6" i="1"/>
  <c r="X8" i="1"/>
  <c r="W17" i="1"/>
  <c r="Y22" i="1"/>
  <c r="AE18" i="1"/>
  <c r="AE14" i="1"/>
  <c r="AE25" i="1"/>
  <c r="AE17" i="1"/>
  <c r="AE9" i="1"/>
  <c r="AE7" i="1"/>
  <c r="AE5" i="1"/>
  <c r="AE3" i="1"/>
  <c r="AE8" i="1"/>
  <c r="AE4" i="1"/>
  <c r="AE2" i="1"/>
  <c r="AF5" i="1"/>
  <c r="AF15" i="1"/>
  <c r="AF13" i="1"/>
  <c r="AF2" i="1"/>
  <c r="AF12" i="1"/>
  <c r="AF3" i="1"/>
  <c r="AC2" i="1"/>
  <c r="U16" i="1"/>
  <c r="U2" i="1"/>
  <c r="U8" i="1"/>
  <c r="Z17" i="1"/>
  <c r="U18" i="1"/>
  <c r="U24" i="1"/>
  <c r="Z3" i="1"/>
  <c r="Z5" i="1"/>
  <c r="Z7" i="1"/>
  <c r="Z9" i="1"/>
  <c r="V10" i="1"/>
  <c r="Z10" i="1"/>
  <c r="W10" i="1"/>
  <c r="Y16" i="1"/>
  <c r="AF18" i="1" s="1"/>
  <c r="V18" i="1"/>
  <c r="W18" i="1"/>
  <c r="W23" i="1"/>
  <c r="U23" i="1"/>
  <c r="V24" i="1"/>
  <c r="W24" i="1"/>
  <c r="Y25" i="1"/>
  <c r="W29" i="1"/>
  <c r="Y29" i="1"/>
  <c r="U29" i="1"/>
  <c r="W2" i="1"/>
  <c r="W4" i="1"/>
  <c r="W6" i="1"/>
  <c r="W8" i="1"/>
  <c r="Z11" i="1"/>
  <c r="Y17" i="1"/>
  <c r="Z19" i="1"/>
  <c r="U20" i="1"/>
  <c r="W21" i="1"/>
  <c r="U21" i="1"/>
  <c r="V22" i="1"/>
  <c r="Z23" i="1"/>
  <c r="U10" i="1"/>
  <c r="AG2" i="1"/>
  <c r="V12" i="1"/>
  <c r="V20" i="1"/>
  <c r="U4" i="1"/>
  <c r="U6" i="1"/>
  <c r="V3" i="1"/>
  <c r="AC3" i="1" s="1"/>
  <c r="V5" i="1"/>
  <c r="V7" i="1"/>
  <c r="V9" i="1"/>
  <c r="Y28" i="1"/>
  <c r="W28" i="1"/>
  <c r="U28" i="1"/>
  <c r="V28" i="1"/>
  <c r="AG3" i="1"/>
  <c r="AG9" i="1"/>
  <c r="U25" i="1"/>
  <c r="X28" i="1"/>
  <c r="V11" i="1"/>
  <c r="Z12" i="1"/>
  <c r="V13" i="1"/>
  <c r="Z14" i="1"/>
  <c r="V15" i="1"/>
  <c r="Z16" i="1"/>
  <c r="V17" i="1"/>
  <c r="Z18" i="1"/>
  <c r="V19" i="1"/>
  <c r="Z20" i="1"/>
  <c r="V21" i="1"/>
  <c r="Z22" i="1"/>
  <c r="V23" i="1"/>
  <c r="Z24" i="1"/>
  <c r="V25" i="1"/>
  <c r="Z26" i="1"/>
  <c r="V26" i="1"/>
  <c r="W27" i="1"/>
  <c r="U27" i="1"/>
  <c r="X29" i="1"/>
  <c r="V27" i="1"/>
  <c r="V29" i="1"/>
  <c r="AF23" i="1" l="1"/>
  <c r="AE22" i="1"/>
  <c r="AF4" i="1"/>
  <c r="AF7" i="1"/>
  <c r="AE11" i="1"/>
  <c r="AE26" i="1"/>
  <c r="AE24" i="1"/>
  <c r="AG19" i="1"/>
  <c r="AF6" i="1"/>
  <c r="AF9" i="1"/>
  <c r="AE13" i="1"/>
  <c r="AE10" i="1"/>
  <c r="AE27" i="1"/>
  <c r="AF8" i="1"/>
  <c r="AE6" i="1"/>
  <c r="AE15" i="1"/>
  <c r="AF24" i="1"/>
  <c r="AF20" i="1"/>
  <c r="AF14" i="1"/>
  <c r="AF10" i="1"/>
  <c r="AE19" i="1"/>
  <c r="AE16" i="1"/>
  <c r="AF11" i="1"/>
  <c r="AF16" i="1"/>
  <c r="AE23" i="1"/>
  <c r="AG23" i="1"/>
  <c r="AG17" i="1"/>
  <c r="AD27" i="1"/>
  <c r="AD29" i="1"/>
  <c r="AD26" i="1"/>
  <c r="AD21" i="1"/>
  <c r="AD20" i="1"/>
  <c r="AD19" i="1"/>
  <c r="AD11" i="1"/>
  <c r="AD23" i="1"/>
  <c r="AD22" i="1"/>
  <c r="AD18" i="1"/>
  <c r="AD10" i="1"/>
  <c r="AD24" i="1"/>
  <c r="AD17" i="1"/>
  <c r="AD16" i="1"/>
  <c r="AD9" i="1"/>
  <c r="AD7" i="1"/>
  <c r="AD5" i="1"/>
  <c r="AD3" i="1"/>
  <c r="AD2" i="1"/>
  <c r="AD25" i="1"/>
  <c r="AD15" i="1"/>
  <c r="AD14" i="1"/>
  <c r="AD8" i="1"/>
  <c r="AD6" i="1"/>
  <c r="AD13" i="1"/>
  <c r="AD28" i="1"/>
  <c r="AD12" i="1"/>
  <c r="AD4" i="1"/>
  <c r="AC5" i="1"/>
  <c r="AC10" i="1"/>
  <c r="AC21" i="1"/>
  <c r="AC27" i="1"/>
  <c r="AC25" i="1"/>
  <c r="AF22" i="1"/>
  <c r="AF25" i="1"/>
  <c r="AC18" i="1"/>
  <c r="AF28" i="1"/>
  <c r="AG7" i="1"/>
  <c r="AG28" i="1"/>
  <c r="AG29" i="1"/>
  <c r="AG13" i="1"/>
  <c r="AG16" i="1"/>
  <c r="AG22" i="1"/>
  <c r="AG21" i="1"/>
  <c r="AG18" i="1"/>
  <c r="AG10" i="1"/>
  <c r="AC9" i="1"/>
  <c r="AC22" i="1"/>
  <c r="AC4" i="1"/>
  <c r="AF19" i="1"/>
  <c r="AF27" i="1"/>
  <c r="AC7" i="1"/>
  <c r="AF26" i="1"/>
  <c r="AG5" i="1"/>
  <c r="AG25" i="1"/>
  <c r="AG26" i="1"/>
  <c r="AG12" i="1"/>
  <c r="AG11" i="1"/>
  <c r="AC16" i="1"/>
  <c r="AC23" i="1"/>
  <c r="AC6" i="1"/>
  <c r="AF29" i="1"/>
  <c r="AG27" i="1"/>
  <c r="AG14" i="1"/>
  <c r="AG8" i="1"/>
  <c r="AC13" i="1"/>
  <c r="AC29" i="1"/>
  <c r="AC8" i="1"/>
  <c r="AC26" i="1"/>
  <c r="AE28" i="1"/>
  <c r="AE29" i="1"/>
  <c r="AG24" i="1"/>
  <c r="AG6" i="1"/>
  <c r="AC14" i="1"/>
  <c r="AC17" i="1"/>
  <c r="AC11" i="1"/>
  <c r="AC12" i="1"/>
  <c r="AC28" i="1"/>
  <c r="AB28" i="1"/>
  <c r="AB26" i="1"/>
  <c r="AB29" i="1"/>
  <c r="AB24" i="1"/>
  <c r="AB22" i="1"/>
  <c r="AB20" i="1"/>
  <c r="AB13" i="1"/>
  <c r="AB12" i="1"/>
  <c r="AB8" i="1"/>
  <c r="AB6" i="1"/>
  <c r="AB4" i="1"/>
  <c r="AB21" i="1"/>
  <c r="AB19" i="1"/>
  <c r="AB11" i="1"/>
  <c r="AB27" i="1"/>
  <c r="AB23" i="1"/>
  <c r="AB18" i="1"/>
  <c r="AB10" i="1"/>
  <c r="AB17" i="1"/>
  <c r="AB25" i="1"/>
  <c r="AB16" i="1"/>
  <c r="AB9" i="1"/>
  <c r="AB7" i="1"/>
  <c r="AB5" i="1"/>
  <c r="AB3" i="1"/>
  <c r="AB2" i="1"/>
  <c r="AB15" i="1"/>
  <c r="AG20" i="1"/>
  <c r="AC15" i="1"/>
  <c r="AC24" i="1"/>
  <c r="AC19" i="1"/>
  <c r="AG15" i="1"/>
  <c r="AC20" i="1"/>
</calcChain>
</file>

<file path=xl/sharedStrings.xml><?xml version="1.0" encoding="utf-8"?>
<sst xmlns="http://schemas.openxmlformats.org/spreadsheetml/2006/main" count="30" uniqueCount="14">
  <si>
    <t>date</t>
  </si>
  <si>
    <t>GDP_RS</t>
  </si>
  <si>
    <t>benchmark_h1</t>
  </si>
  <si>
    <t>benchmark_h4</t>
  </si>
  <si>
    <t>lasso_h1</t>
  </si>
  <si>
    <t>lasso_h4</t>
  </si>
  <si>
    <t>enet_h1</t>
  </si>
  <si>
    <t>enet_h4</t>
  </si>
  <si>
    <t>rf_h1</t>
  </si>
  <si>
    <t>rf_h4</t>
  </si>
  <si>
    <t>benchmark_h12</t>
  </si>
  <si>
    <t>lasso_h12</t>
  </si>
  <si>
    <t>enet_h12</t>
  </si>
  <si>
    <t>rf_h12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</si>
</sst>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GDP_RS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</c:f>
              <c:numCache>
                <c:formatCode>m/d/yyyy</c:formatCode>
                <c:ptCount val="28"/>
                <c:pt idx="0">
                  <c:v>43252</c:v>
                </c:pt>
                <c:pt idx="1">
                  <c:v>43344</c:v>
                </c:pt>
                <c:pt idx="2">
                  <c:v>43435</c:v>
                </c:pt>
                <c:pt idx="3">
                  <c:v>43525</c:v>
                </c:pt>
                <c:pt idx="4">
                  <c:v>43617</c:v>
                </c:pt>
                <c:pt idx="5">
                  <c:v>43709</c:v>
                </c:pt>
                <c:pt idx="6">
                  <c:v>43800</c:v>
                </c:pt>
                <c:pt idx="7">
                  <c:v>43891</c:v>
                </c:pt>
                <c:pt idx="8">
                  <c:v>43983</c:v>
                </c:pt>
                <c:pt idx="9">
                  <c:v>44075</c:v>
                </c:pt>
                <c:pt idx="10">
                  <c:v>44166</c:v>
                </c:pt>
                <c:pt idx="11">
                  <c:v>44256</c:v>
                </c:pt>
                <c:pt idx="12">
                  <c:v>44348</c:v>
                </c:pt>
                <c:pt idx="13">
                  <c:v>44440</c:v>
                </c:pt>
                <c:pt idx="14">
                  <c:v>44531</c:v>
                </c:pt>
                <c:pt idx="15">
                  <c:v>44621</c:v>
                </c:pt>
                <c:pt idx="16">
                  <c:v>44713</c:v>
                </c:pt>
                <c:pt idx="17">
                  <c:v>44805</c:v>
                </c:pt>
                <c:pt idx="18">
                  <c:v>44896</c:v>
                </c:pt>
                <c:pt idx="19">
                  <c:v>44986</c:v>
                </c:pt>
                <c:pt idx="20">
                  <c:v>45078</c:v>
                </c:pt>
                <c:pt idx="21">
                  <c:v>45170</c:v>
                </c:pt>
                <c:pt idx="22">
                  <c:v>45261</c:v>
                </c:pt>
                <c:pt idx="23">
                  <c:v>45352</c:v>
                </c:pt>
                <c:pt idx="24">
                  <c:v>45444</c:v>
                </c:pt>
                <c:pt idx="25">
                  <c:v>45536</c:v>
                </c:pt>
                <c:pt idx="26">
                  <c:v>45627</c:v>
                </c:pt>
                <c:pt idx="27">
                  <c:v>45717</c:v>
                </c:pt>
              </c:numCache>
            </c:numRef>
          </c:cat>
          <c:val>
            <c:numRef>
              <c:f>Sheet1!$B$2:$B$29</c:f>
              <c:numCache>
                <c:formatCode>0.00</c:formatCode>
                <c:ptCount val="28"/>
                <c:pt idx="0">
                  <c:v>141.48259210000001</c:v>
                </c:pt>
                <c:pt idx="1">
                  <c:v>128.76483250000001</c:v>
                </c:pt>
                <c:pt idx="2">
                  <c:v>130.65820590000001</c:v>
                </c:pt>
                <c:pt idx="3">
                  <c:v>131.25074380000001</c:v>
                </c:pt>
                <c:pt idx="4">
                  <c:v>148.45712449999999</c:v>
                </c:pt>
                <c:pt idx="5">
                  <c:v>126.88155089999999</c:v>
                </c:pt>
                <c:pt idx="6">
                  <c:v>129.0803702</c:v>
                </c:pt>
                <c:pt idx="7">
                  <c:v>126.3009824</c:v>
                </c:pt>
                <c:pt idx="8">
                  <c:v>120.64658590000001</c:v>
                </c:pt>
                <c:pt idx="9">
                  <c:v>122.8310121</c:v>
                </c:pt>
                <c:pt idx="10">
                  <c:v>127.2570825</c:v>
                </c:pt>
                <c:pt idx="11">
                  <c:v>132.16170170000001</c:v>
                </c:pt>
                <c:pt idx="12">
                  <c:v>155.02468479999999</c:v>
                </c:pt>
                <c:pt idx="13">
                  <c:v>125.5808748</c:v>
                </c:pt>
                <c:pt idx="14">
                  <c:v>130.38867619999999</c:v>
                </c:pt>
                <c:pt idx="15">
                  <c:v>128.8725231</c:v>
                </c:pt>
                <c:pt idx="16">
                  <c:v>138.52700680000001</c:v>
                </c:pt>
                <c:pt idx="17">
                  <c:v>129.17428140000001</c:v>
                </c:pt>
                <c:pt idx="18">
                  <c:v>132.3938015</c:v>
                </c:pt>
                <c:pt idx="19">
                  <c:v>130.6914051</c:v>
                </c:pt>
                <c:pt idx="20">
                  <c:v>148.25930070000001</c:v>
                </c:pt>
                <c:pt idx="21">
                  <c:v>128.77371460000001</c:v>
                </c:pt>
                <c:pt idx="22">
                  <c:v>131.44522889999999</c:v>
                </c:pt>
                <c:pt idx="23">
                  <c:v>139.2724848</c:v>
                </c:pt>
                <c:pt idx="24">
                  <c:v>155.39509409999999</c:v>
                </c:pt>
                <c:pt idx="25">
                  <c:v>133.76652319999999</c:v>
                </c:pt>
                <c:pt idx="26">
                  <c:v>137.14416729999999</c:v>
                </c:pt>
                <c:pt idx="27">
                  <c:v>141.79130939999999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4-4047-B0AA-7FE3EFD327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benchmark_h1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</c:f>
              <c:numCache>
                <c:formatCode>m/d/yyyy</c:formatCode>
                <c:ptCount val="28"/>
                <c:pt idx="0">
                  <c:v>43252</c:v>
                </c:pt>
                <c:pt idx="1">
                  <c:v>43344</c:v>
                </c:pt>
                <c:pt idx="2">
                  <c:v>43435</c:v>
                </c:pt>
                <c:pt idx="3">
                  <c:v>43525</c:v>
                </c:pt>
                <c:pt idx="4">
                  <c:v>43617</c:v>
                </c:pt>
                <c:pt idx="5">
                  <c:v>43709</c:v>
                </c:pt>
                <c:pt idx="6">
                  <c:v>43800</c:v>
                </c:pt>
                <c:pt idx="7">
                  <c:v>43891</c:v>
                </c:pt>
                <c:pt idx="8">
                  <c:v>43983</c:v>
                </c:pt>
                <c:pt idx="9">
                  <c:v>44075</c:v>
                </c:pt>
                <c:pt idx="10">
                  <c:v>44166</c:v>
                </c:pt>
                <c:pt idx="11">
                  <c:v>44256</c:v>
                </c:pt>
                <c:pt idx="12">
                  <c:v>44348</c:v>
                </c:pt>
                <c:pt idx="13">
                  <c:v>44440</c:v>
                </c:pt>
                <c:pt idx="14">
                  <c:v>44531</c:v>
                </c:pt>
                <c:pt idx="15">
                  <c:v>44621</c:v>
                </c:pt>
                <c:pt idx="16">
                  <c:v>44713</c:v>
                </c:pt>
                <c:pt idx="17">
                  <c:v>44805</c:v>
                </c:pt>
                <c:pt idx="18">
                  <c:v>44896</c:v>
                </c:pt>
                <c:pt idx="19">
                  <c:v>44986</c:v>
                </c:pt>
                <c:pt idx="20">
                  <c:v>45078</c:v>
                </c:pt>
                <c:pt idx="21">
                  <c:v>45170</c:v>
                </c:pt>
                <c:pt idx="22">
                  <c:v>45261</c:v>
                </c:pt>
                <c:pt idx="23">
                  <c:v>45352</c:v>
                </c:pt>
                <c:pt idx="24">
                  <c:v>45444</c:v>
                </c:pt>
                <c:pt idx="25">
                  <c:v>45536</c:v>
                </c:pt>
                <c:pt idx="26">
                  <c:v>45627</c:v>
                </c:pt>
                <c:pt idx="27">
                  <c:v>45717</c:v>
                </c:pt>
              </c:numCache>
            </c:numRef>
          </c:cat>
          <c:val>
            <c:numRef>
              <c:f>Sheet1!$C$2:$C$29</c:f>
              <c:numCache>
                <c:formatCode>0.00</c:formatCode>
                <c:ptCount val="28"/>
                <c:pt idx="0">
                  <c:v>142.92944517311389</c:v>
                </c:pt>
                <c:pt idx="1">
                  <c:v>119.6419439247198</c:v>
                </c:pt>
                <c:pt idx="2">
                  <c:v>129.86588474110701</c:v>
                </c:pt>
                <c:pt idx="3">
                  <c:v>132.87829324949459</c:v>
                </c:pt>
                <c:pt idx="4">
                  <c:v>140.97473738809819</c:v>
                </c:pt>
                <c:pt idx="5">
                  <c:v>134.54392484693579</c:v>
                </c:pt>
                <c:pt idx="6">
                  <c:v>130.54921318236649</c:v>
                </c:pt>
                <c:pt idx="7">
                  <c:v>129.93711521627679</c:v>
                </c:pt>
                <c:pt idx="8">
                  <c:v>143.0396560893781</c:v>
                </c:pt>
                <c:pt idx="9">
                  <c:v>110.8675527988199</c:v>
                </c:pt>
                <c:pt idx="10">
                  <c:v>125.63366291688681</c:v>
                </c:pt>
                <c:pt idx="11">
                  <c:v>125.08948335926399</c:v>
                </c:pt>
                <c:pt idx="12">
                  <c:v>125.2201262544915</c:v>
                </c:pt>
                <c:pt idx="13">
                  <c:v>143.6251645415268</c:v>
                </c:pt>
                <c:pt idx="14">
                  <c:v>131.4551047160945</c:v>
                </c:pt>
                <c:pt idx="15">
                  <c:v>136.752195707233</c:v>
                </c:pt>
                <c:pt idx="16">
                  <c:v>146.98700499799361</c:v>
                </c:pt>
                <c:pt idx="17">
                  <c:v>124.2639690087864</c:v>
                </c:pt>
                <c:pt idx="18">
                  <c:v>132.06043258414849</c:v>
                </c:pt>
                <c:pt idx="19">
                  <c:v>130.17381480966469</c:v>
                </c:pt>
                <c:pt idx="20">
                  <c:v>136.45559413981709</c:v>
                </c:pt>
                <c:pt idx="21">
                  <c:v>135.131797615544</c:v>
                </c:pt>
                <c:pt idx="22">
                  <c:v>133.9356864540662</c:v>
                </c:pt>
                <c:pt idx="23">
                  <c:v>130.48056334813089</c:v>
                </c:pt>
                <c:pt idx="24">
                  <c:v>146.0123668277075</c:v>
                </c:pt>
                <c:pt idx="25">
                  <c:v>136.05471314584011</c:v>
                </c:pt>
                <c:pt idx="26">
                  <c:v>140.74719665757249</c:v>
                </c:pt>
                <c:pt idx="27">
                  <c:v>126.978955264013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84-4047-B0AA-7FE3EFD3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578447"/>
        <c:axId val="782581807"/>
      </c:lineChart>
      <c:dateAx>
        <c:axId val="7825784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2581807"/>
        <c:crosses val="autoZero"/>
        <c:auto val="1"/>
        <c:lblOffset val="100"/>
        <c:baseTimeUnit val="months"/>
      </c:dateAx>
      <c:valAx>
        <c:axId val="78258180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25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benchmark_h1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Sheet1!$L$2:$L$29</c:f>
              <c:numCache>
                <c:formatCode>General</c:formatCode>
                <c:ptCount val="28"/>
                <c:pt idx="0">
                  <c:v>2.0933838151790947</c:v>
                </c:pt>
                <c:pt idx="1">
                  <c:v>83.22709595697826</c:v>
                </c:pt>
                <c:pt idx="2">
                  <c:v>0.62777281882955138</c:v>
                </c:pt>
                <c:pt idx="3">
                  <c:v>2.6489172105501115</c:v>
                </c:pt>
                <c:pt idx="4">
                  <c:v>55.986116892354175</c:v>
                </c:pt>
                <c:pt idx="5">
                  <c:v>58.711974502680533</c:v>
                </c:pt>
                <c:pt idx="6">
                  <c:v>2.1574997068472612</c:v>
                </c:pt>
                <c:pt idx="7">
                  <c:v>13.221461857605046</c:v>
                </c:pt>
                <c:pt idx="8">
                  <c:v>501.44959250641386</c:v>
                </c:pt>
                <c:pt idx="9">
                  <c:v>143.1243584509925</c:v>
                </c:pt>
                <c:pt idx="10">
                  <c:v>2.6354911428354031</c:v>
                </c:pt>
                <c:pt idx="11">
                  <c:v>50.016272259042871</c:v>
                </c:pt>
                <c:pt idx="12">
                  <c:v>888.3117100926429</c:v>
                </c:pt>
                <c:pt idx="13">
                  <c:v>325.59639227616918</c:v>
                </c:pt>
                <c:pt idx="14">
                  <c:v>1.1372697799395262</c:v>
                </c:pt>
                <c:pt idx="15">
                  <c:v>62.089240397178173</c:v>
                </c:pt>
                <c:pt idx="16">
                  <c:v>71.571569510054942</c:v>
                </c:pt>
                <c:pt idx="17">
                  <c:v>24.111167779305905</c:v>
                </c:pt>
                <c:pt idx="18">
                  <c:v>0.11113483405601017</c:v>
                </c:pt>
                <c:pt idx="19">
                  <c:v>0.26789970864938661</c:v>
                </c:pt>
                <c:pt idx="20">
                  <c:v>139.32748855890523</c:v>
                </c:pt>
                <c:pt idx="21">
                  <c:v>40.425219632549044</c:v>
                </c:pt>
                <c:pt idx="22">
                  <c:v>6.2023788286054531</c:v>
                </c:pt>
                <c:pt idx="23">
                  <c:v>77.297882815836331</c:v>
                </c:pt>
                <c:pt idx="24">
                  <c:v>88.035571066221436</c:v>
                </c:pt>
                <c:pt idx="25">
                  <c:v>5.2358132282437948</c:v>
                </c:pt>
                <c:pt idx="26">
                  <c:v>12.981820551529269</c:v>
                </c:pt>
                <c:pt idx="27">
                  <c:v>219.40583504989098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0-4C80-BA28-15816D17C975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lasso_h1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Sheet1!$N$2:$N$29</c:f>
              <c:numCache>
                <c:formatCode>General</c:formatCode>
                <c:ptCount val="28"/>
                <c:pt idx="0">
                  <c:v>9.6048661667620614</c:v>
                </c:pt>
                <c:pt idx="1">
                  <c:v>30.771652209706094</c:v>
                </c:pt>
                <c:pt idx="2">
                  <c:v>9.9961716147992998</c:v>
                </c:pt>
                <c:pt idx="3">
                  <c:v>7.209192770572475</c:v>
                </c:pt>
                <c:pt idx="4">
                  <c:v>4.4413203672614037</c:v>
                </c:pt>
                <c:pt idx="5">
                  <c:v>0.12723942561782556</c:v>
                </c:pt>
                <c:pt idx="6">
                  <c:v>1.5437216009221204</c:v>
                </c:pt>
                <c:pt idx="7">
                  <c:v>11.968750895055567</c:v>
                </c:pt>
                <c:pt idx="8">
                  <c:v>167.107713046501</c:v>
                </c:pt>
                <c:pt idx="9">
                  <c:v>120.10266802048706</c:v>
                </c:pt>
                <c:pt idx="10">
                  <c:v>9.8889956235286807</c:v>
                </c:pt>
                <c:pt idx="11">
                  <c:v>7.5653346418415746</c:v>
                </c:pt>
                <c:pt idx="12">
                  <c:v>128.54922903091679</c:v>
                </c:pt>
                <c:pt idx="13">
                  <c:v>29.505000556913366</c:v>
                </c:pt>
                <c:pt idx="14">
                  <c:v>8.0557103138603683</c:v>
                </c:pt>
                <c:pt idx="15">
                  <c:v>10.744049307240585</c:v>
                </c:pt>
                <c:pt idx="16">
                  <c:v>33.810696030032624</c:v>
                </c:pt>
                <c:pt idx="17">
                  <c:v>4.6110079293260764</c:v>
                </c:pt>
                <c:pt idx="18">
                  <c:v>26.90840996653375</c:v>
                </c:pt>
                <c:pt idx="19">
                  <c:v>12.864127408565789</c:v>
                </c:pt>
                <c:pt idx="20">
                  <c:v>9.0221429160187689</c:v>
                </c:pt>
                <c:pt idx="21">
                  <c:v>5.4696982981875336E-2</c:v>
                </c:pt>
                <c:pt idx="22">
                  <c:v>8.3170596437187214</c:v>
                </c:pt>
                <c:pt idx="23">
                  <c:v>55.885964990835781</c:v>
                </c:pt>
                <c:pt idx="24">
                  <c:v>74.823568308858199</c:v>
                </c:pt>
                <c:pt idx="25">
                  <c:v>1.2374931525400217</c:v>
                </c:pt>
                <c:pt idx="26">
                  <c:v>0.69056396392321107</c:v>
                </c:pt>
                <c:pt idx="27">
                  <c:v>19.406774339070296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40-4C80-BA28-15816D17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186127"/>
        <c:axId val="7811899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benchmark_h12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Sheet1!$M$2:$M$29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12.928983838191371</c:v>
                      </c:pt>
                      <c:pt idx="1">
                        <c:v>55.032665910544296</c:v>
                      </c:pt>
                      <c:pt idx="2">
                        <c:v>26.051216232802858</c:v>
                      </c:pt>
                      <c:pt idx="3">
                        <c:v>3.2678999255964856</c:v>
                      </c:pt>
                      <c:pt idx="4">
                        <c:v>87.173399638057575</c:v>
                      </c:pt>
                      <c:pt idx="5">
                        <c:v>11.342737208628701</c:v>
                      </c:pt>
                      <c:pt idx="6">
                        <c:v>11.085776451753533</c:v>
                      </c:pt>
                      <c:pt idx="7">
                        <c:v>30.697868398794395</c:v>
                      </c:pt>
                      <c:pt idx="8">
                        <c:v>760.67203639289789</c:v>
                      </c:pt>
                      <c:pt idx="9">
                        <c:v>17.290757231193215</c:v>
                      </c:pt>
                      <c:pt idx="10">
                        <c:v>6.5936523115415122</c:v>
                      </c:pt>
                      <c:pt idx="11">
                        <c:v>36.458709663678711</c:v>
                      </c:pt>
                      <c:pt idx="12" formatCode="0.00">
                        <c:v>1531.1862371826637</c:v>
                      </c:pt>
                      <c:pt idx="13">
                        <c:v>6.6843488915001332</c:v>
                      </c:pt>
                      <c:pt idx="14">
                        <c:v>16.38933816389012</c:v>
                      </c:pt>
                      <c:pt idx="15">
                        <c:v>5.2591503631886294</c:v>
                      </c:pt>
                      <c:pt idx="16">
                        <c:v>6.0359381169680857</c:v>
                      </c:pt>
                      <c:pt idx="17">
                        <c:v>0.90132650261334446</c:v>
                      </c:pt>
                      <c:pt idx="18">
                        <c:v>0.22603540485165827</c:v>
                      </c:pt>
                      <c:pt idx="19">
                        <c:v>0.87682881703742688</c:v>
                      </c:pt>
                      <c:pt idx="20">
                        <c:v>167.86660485669748</c:v>
                      </c:pt>
                      <c:pt idx="21">
                        <c:v>0.51157344532170512</c:v>
                      </c:pt>
                      <c:pt idx="22">
                        <c:v>0.17771569944986221</c:v>
                      </c:pt>
                      <c:pt idx="23">
                        <c:v>94.871818013082162</c:v>
                      </c:pt>
                      <c:pt idx="24">
                        <c:v>388.49607005035028</c:v>
                      </c:pt>
                      <c:pt idx="25">
                        <c:v>53.090862108414271</c:v>
                      </c:pt>
                      <c:pt idx="26">
                        <c:v>36.300335208795616</c:v>
                      </c:pt>
                      <c:pt idx="27">
                        <c:v>58.350015731274468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540-4C80-BA28-15816D17C975}"/>
                  </c:ext>
                </c:extLst>
              </c15:ser>
            </c15:filteredLineSeries>
          </c:ext>
        </c:extLst>
      </c:lineChart>
      <c:catAx>
        <c:axId val="781186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1189967"/>
        <c:crosses val="autoZero"/>
        <c:auto val="1"/>
        <c:lblAlgn val="ctr"/>
        <c:lblOffset val="100"/>
        <c:noMultiLvlLbl val="0"/>
      </c:catAx>
      <c:valAx>
        <c:axId val="78118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118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lasso_h1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Sheet1!$U$2:$U$29</c:f>
              <c:numCache>
                <c:formatCode>General</c:formatCode>
                <c:ptCount val="28"/>
                <c:pt idx="0">
                  <c:v>-7.5114823515829663</c:v>
                </c:pt>
                <c:pt idx="1">
                  <c:v>52.45544374727217</c:v>
                </c:pt>
                <c:pt idx="2">
                  <c:v>-9.3683987959697479</c:v>
                </c:pt>
                <c:pt idx="3">
                  <c:v>-4.5602755600223635</c:v>
                </c:pt>
                <c:pt idx="4">
                  <c:v>51.544796525092771</c:v>
                </c:pt>
                <c:pt idx="5">
                  <c:v>58.58473507706271</c:v>
                </c:pt>
                <c:pt idx="6">
                  <c:v>0.61377810592514082</c:v>
                </c:pt>
                <c:pt idx="7">
                  <c:v>1.2527109625494788</c:v>
                </c:pt>
                <c:pt idx="8">
                  <c:v>334.34187945991289</c:v>
                </c:pt>
                <c:pt idx="9">
                  <c:v>23.021690430505444</c:v>
                </c:pt>
                <c:pt idx="10">
                  <c:v>-7.2535044806932776</c:v>
                </c:pt>
                <c:pt idx="11">
                  <c:v>42.450937617201298</c:v>
                </c:pt>
                <c:pt idx="12">
                  <c:v>759.76248106172613</c:v>
                </c:pt>
                <c:pt idx="13">
                  <c:v>296.0913917192558</c:v>
                </c:pt>
                <c:pt idx="14">
                  <c:v>-6.9184405339208421</c:v>
                </c:pt>
                <c:pt idx="15">
                  <c:v>51.345191089937586</c:v>
                </c:pt>
                <c:pt idx="16">
                  <c:v>37.760873480022319</c:v>
                </c:pt>
                <c:pt idx="17">
                  <c:v>19.500159849979831</c:v>
                </c:pt>
                <c:pt idx="18">
                  <c:v>-26.79727513247774</c:v>
                </c:pt>
                <c:pt idx="19">
                  <c:v>-12.596227699916403</c:v>
                </c:pt>
                <c:pt idx="20">
                  <c:v>130.30534564288646</c:v>
                </c:pt>
                <c:pt idx="21">
                  <c:v>40.370522649567171</c:v>
                </c:pt>
                <c:pt idx="22">
                  <c:v>-2.1146808151132683</c:v>
                </c:pt>
                <c:pt idx="23">
                  <c:v>21.41191782500055</c:v>
                </c:pt>
                <c:pt idx="24">
                  <c:v>13.212002757363237</c:v>
                </c:pt>
                <c:pt idx="25">
                  <c:v>3.9983200757037731</c:v>
                </c:pt>
                <c:pt idx="26">
                  <c:v>12.291256587606059</c:v>
                </c:pt>
                <c:pt idx="27">
                  <c:v>199.99906071082069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D-4315-9F28-E9BED7E3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443647"/>
        <c:axId val="455444127"/>
      </c:lineChart>
      <c:catAx>
        <c:axId val="455443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444127"/>
        <c:crosses val="autoZero"/>
        <c:auto val="1"/>
        <c:lblAlgn val="ctr"/>
        <c:lblOffset val="100"/>
        <c:noMultiLvlLbl val="0"/>
      </c:catAx>
      <c:valAx>
        <c:axId val="45544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44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Sheet1!$AB$1</c:f>
              <c:strCache>
                <c:ptCount val="1"/>
                <c:pt idx="0">
                  <c:v>lasso_h1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Sheet1!$AB$2:$AB$29</c:f>
              <c:numCache>
                <c:formatCode>General</c:formatCode>
                <c:ptCount val="28"/>
                <c:pt idx="0">
                  <c:v>-7.5114823515829663</c:v>
                </c:pt>
                <c:pt idx="1">
                  <c:v>44.9439613956892</c:v>
                </c:pt>
                <c:pt idx="2">
                  <c:v>35.575562599719454</c:v>
                </c:pt>
                <c:pt idx="3">
                  <c:v>31.015287039697093</c:v>
                </c:pt>
                <c:pt idx="4">
                  <c:v>82.560083564789863</c:v>
                </c:pt>
                <c:pt idx="5">
                  <c:v>141.14481864185257</c:v>
                </c:pt>
                <c:pt idx="6">
                  <c:v>141.75859674777772</c:v>
                </c:pt>
                <c:pt idx="7">
                  <c:v>143.0113077103272</c:v>
                </c:pt>
                <c:pt idx="8">
                  <c:v>477.35318717024006</c:v>
                </c:pt>
                <c:pt idx="9">
                  <c:v>500.37487760074549</c:v>
                </c:pt>
                <c:pt idx="10">
                  <c:v>493.12137312005223</c:v>
                </c:pt>
                <c:pt idx="11">
                  <c:v>535.57231073725347</c:v>
                </c:pt>
                <c:pt idx="12">
                  <c:v>1295.3347917989795</c:v>
                </c:pt>
                <c:pt idx="13">
                  <c:v>1591.4261835182353</c:v>
                </c:pt>
                <c:pt idx="14">
                  <c:v>1584.5077429843145</c:v>
                </c:pt>
                <c:pt idx="15">
                  <c:v>1635.8529340742521</c:v>
                </c:pt>
                <c:pt idx="16">
                  <c:v>1673.6138075542744</c:v>
                </c:pt>
                <c:pt idx="17">
                  <c:v>1693.1139674042543</c:v>
                </c:pt>
                <c:pt idx="18">
                  <c:v>1666.3166922717764</c:v>
                </c:pt>
                <c:pt idx="19">
                  <c:v>1653.72046457186</c:v>
                </c:pt>
                <c:pt idx="20">
                  <c:v>1784.0258102147466</c:v>
                </c:pt>
                <c:pt idx="21">
                  <c:v>1824.3963328643138</c:v>
                </c:pt>
                <c:pt idx="22">
                  <c:v>1822.2816520492006</c:v>
                </c:pt>
                <c:pt idx="23">
                  <c:v>1843.6935698742011</c:v>
                </c:pt>
                <c:pt idx="24">
                  <c:v>1856.9055726315644</c:v>
                </c:pt>
                <c:pt idx="25">
                  <c:v>1860.9038927072681</c:v>
                </c:pt>
                <c:pt idx="26">
                  <c:v>1873.1951492948742</c:v>
                </c:pt>
                <c:pt idx="27">
                  <c:v>2073.1942100056949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2-4E7A-92DC-1B173094D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370751"/>
        <c:axId val="569374111"/>
      </c:lineChart>
      <c:catAx>
        <c:axId val="569370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9374111"/>
        <c:crosses val="autoZero"/>
        <c:auto val="1"/>
        <c:lblAlgn val="ctr"/>
        <c:lblOffset val="100"/>
        <c:noMultiLvlLbl val="0"/>
      </c:catAx>
      <c:valAx>
        <c:axId val="5693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937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1</xdr:row>
      <xdr:rowOff>152400</xdr:rowOff>
    </xdr:from>
    <xdr:to>
      <xdr:col>11</xdr:col>
      <xdr:colOff>406400</xdr:colOff>
      <xdr:row>22</xdr:row>
      <xdr:rowOff>44450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F42CFFF-5F5F-6001-6071-1FAAA09B4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282575</xdr:colOff>
      <xdr:row>15</xdr:row>
      <xdr:rowOff>177800</xdr:rowOff>
    </xdr:from>
    <xdr:to>
      <xdr:col>18</xdr:col>
      <xdr:colOff>587375</xdr:colOff>
      <xdr:row>30</xdr:row>
      <xdr:rowOff>158750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ED555B6-7AE1-7A69-2B44-511B3CA2C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9525</xdr:colOff>
      <xdr:row>15</xdr:row>
      <xdr:rowOff>95250</xdr:rowOff>
    </xdr:from>
    <xdr:to>
      <xdr:col>25</xdr:col>
      <xdr:colOff>577850</xdr:colOff>
      <xdr:row>27</xdr:row>
      <xdr:rowOff>127000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EF043E0-9E7C-7376-DF51-0235A7F2F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171451</xdr:colOff>
      <xdr:row>5</xdr:row>
      <xdr:rowOff>165100</xdr:rowOff>
    </xdr:from>
    <xdr:to>
      <xdr:col>35</xdr:col>
      <xdr:colOff>180975</xdr:colOff>
      <xdr:row>18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751E14C-8AD7-B041-00DE-8674093A1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topLeftCell="A2" workbookViewId="0">
      <selection activeCell="B13" sqref="B13"/>
    </sheetView>
  </sheetViews>
  <sheetFormatPr defaultRowHeight="14.5" x14ac:dyDescent="0.35"/>
  <cols>
    <col min="1" max="1" width="20.7265625" style="4" customWidth="1"/>
  </cols>
  <sheetData>
    <row r="1" spans="1:33" s="1" customForma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2</v>
      </c>
      <c r="M1" s="1" t="s">
        <v>10</v>
      </c>
      <c r="N1" s="1" t="s">
        <v>4</v>
      </c>
      <c r="O1" s="1" t="s">
        <v>11</v>
      </c>
      <c r="P1" s="1" t="s">
        <v>6</v>
      </c>
      <c r="Q1" s="1" t="s">
        <v>12</v>
      </c>
      <c r="R1" s="1" t="s">
        <v>8</v>
      </c>
      <c r="S1" s="1" t="s">
        <v>13</v>
      </c>
      <c r="U1" s="1" t="s">
        <v>4</v>
      </c>
      <c r="V1" s="1" t="s">
        <v>11</v>
      </c>
      <c r="W1" s="1" t="s">
        <v>6</v>
      </c>
      <c r="X1" s="1" t="s">
        <v>12</v>
      </c>
      <c r="Y1" s="1" t="s">
        <v>8</v>
      </c>
      <c r="Z1" s="1" t="s">
        <v>13</v>
      </c>
      <c r="AB1" s="1" t="s">
        <v>4</v>
      </c>
      <c r="AC1" s="1" t="s">
        <v>11</v>
      </c>
      <c r="AD1" s="1" t="s">
        <v>6</v>
      </c>
      <c r="AE1" s="1" t="s">
        <v>12</v>
      </c>
      <c r="AF1" s="1" t="s">
        <v>8</v>
      </c>
      <c r="AG1" s="1" t="s">
        <v>13</v>
      </c>
    </row>
    <row r="2" spans="1:33" x14ac:dyDescent="0.35">
      <c r="A2" s="4">
        <v>43252</v>
      </c>
      <c r="B2" s="5">
        <v>141.48259210000001</v>
      </c>
      <c r="C2" s="5">
        <v>142.92944517311389</v>
      </c>
      <c r="D2" s="5">
        <v>145.07828171927909</v>
      </c>
      <c r="E2" s="5">
        <v>138.38342024823669</v>
      </c>
      <c r="F2" s="5">
        <v>137.40017911690759</v>
      </c>
      <c r="G2" s="5">
        <v>138.36521877869089</v>
      </c>
      <c r="H2" s="5">
        <v>136.5041259390612</v>
      </c>
      <c r="I2" s="5">
        <v>137.22826297188689</v>
      </c>
      <c r="J2" s="5">
        <v>133.24437888216011</v>
      </c>
      <c r="L2" s="2">
        <f>(C2-$B2)^2</f>
        <v>2.0933838151790947</v>
      </c>
      <c r="M2" s="2">
        <f>(D2-$B2)^2</f>
        <v>12.928983838191371</v>
      </c>
      <c r="N2" s="2">
        <f t="shared" ref="N2:S17" si="0">(E2-$B2)^2</f>
        <v>9.6048661667620614</v>
      </c>
      <c r="O2" s="2">
        <f t="shared" si="0"/>
        <v>16.666095764521476</v>
      </c>
      <c r="P2" s="2">
        <f t="shared" si="0"/>
        <v>9.7180164244098339</v>
      </c>
      <c r="Q2" s="2">
        <f t="shared" si="0"/>
        <v>24.785125315612795</v>
      </c>
      <c r="R2" s="2">
        <f t="shared" si="0"/>
        <v>18.099316330311684</v>
      </c>
      <c r="S2" s="2">
        <f t="shared" si="0"/>
        <v>67.86815702259203</v>
      </c>
      <c r="U2" s="2">
        <f>$L2-N2</f>
        <v>-7.5114823515829663</v>
      </c>
      <c r="V2" s="2">
        <f>$M2-O2</f>
        <v>-3.7371119263301047</v>
      </c>
      <c r="W2" s="2">
        <f>$L2-P2</f>
        <v>-7.6246326092307388</v>
      </c>
      <c r="X2" s="2">
        <f>$M2-Q2</f>
        <v>-11.856141477421424</v>
      </c>
      <c r="Y2" s="2">
        <f>$L2-R2</f>
        <v>-16.005932515132589</v>
      </c>
      <c r="Z2" s="2">
        <f>$M2-S2</f>
        <v>-54.939173184400659</v>
      </c>
      <c r="AB2">
        <f>SUM(U$2:U2)</f>
        <v>-7.5114823515829663</v>
      </c>
      <c r="AC2">
        <f>SUM(V$2:V2)</f>
        <v>-3.7371119263301047</v>
      </c>
      <c r="AD2">
        <f>SUM(W$2:W2)</f>
        <v>-7.6246326092307388</v>
      </c>
      <c r="AE2">
        <f>SUM(X$2:X2)</f>
        <v>-11.856141477421424</v>
      </c>
      <c r="AF2">
        <f>SUM(Y$2:Y2)</f>
        <v>-16.005932515132589</v>
      </c>
      <c r="AG2">
        <f>SUM(Z$2:Z2)</f>
        <v>-54.939173184400659</v>
      </c>
    </row>
    <row r="3" spans="1:33" x14ac:dyDescent="0.35">
      <c r="A3" s="4">
        <v>43344</v>
      </c>
      <c r="B3" s="5">
        <v>128.76483250000001</v>
      </c>
      <c r="C3" s="5">
        <v>119.6419439247198</v>
      </c>
      <c r="D3" s="5">
        <v>121.3464320045735</v>
      </c>
      <c r="E3" s="5">
        <v>123.2176122763469</v>
      </c>
      <c r="F3" s="5">
        <v>120.3866050168307</v>
      </c>
      <c r="G3" s="5">
        <v>124.28006212351499</v>
      </c>
      <c r="H3" s="5">
        <v>125.34398947442941</v>
      </c>
      <c r="I3" s="5">
        <v>127.86728187774339</v>
      </c>
      <c r="J3" s="5">
        <v>124.16454949963671</v>
      </c>
      <c r="L3" s="2">
        <f t="shared" ref="L3:S29" si="1">(C3-$B3)^2</f>
        <v>83.22709595697826</v>
      </c>
      <c r="M3" s="2">
        <f t="shared" si="1"/>
        <v>55.032665910544296</v>
      </c>
      <c r="N3" s="2">
        <f t="shared" si="0"/>
        <v>30.771652209706094</v>
      </c>
      <c r="O3" s="2">
        <f t="shared" si="0"/>
        <v>70.194695759733577</v>
      </c>
      <c r="P3" s="2">
        <f t="shared" si="0"/>
        <v>20.113165329797557</v>
      </c>
      <c r="Q3" s="2">
        <f t="shared" si="0"/>
        <v>11.702167005595049</v>
      </c>
      <c r="R3" s="2">
        <f t="shared" si="0"/>
        <v>0.80559711951323998</v>
      </c>
      <c r="S3" s="2">
        <f t="shared" si="0"/>
        <v>21.162603683431612</v>
      </c>
      <c r="U3" s="2">
        <f t="shared" ref="U3:U29" si="2">$L3-N3</f>
        <v>52.45544374727217</v>
      </c>
      <c r="V3" s="2">
        <f t="shared" ref="V3:V29" si="3">$M3-O3</f>
        <v>-15.162029849189281</v>
      </c>
      <c r="W3" s="2">
        <f t="shared" ref="W3:W29" si="4">$L3-P3</f>
        <v>63.113930627180707</v>
      </c>
      <c r="X3" s="2">
        <f t="shared" ref="X3:X29" si="5">$M3-Q3</f>
        <v>43.330498904949245</v>
      </c>
      <c r="Y3" s="2">
        <f t="shared" ref="Y3:Y29" si="6">$L3-R3</f>
        <v>82.421498837465023</v>
      </c>
      <c r="Z3" s="2">
        <f t="shared" ref="Z3:Z29" si="7">$M3-S3</f>
        <v>33.870062227112683</v>
      </c>
      <c r="AB3">
        <f>SUM(U$2:U3)</f>
        <v>44.9439613956892</v>
      </c>
      <c r="AC3">
        <f>SUM(V$2:V3)</f>
        <v>-18.899141775519386</v>
      </c>
      <c r="AD3">
        <f>SUM(W$2:W3)</f>
        <v>55.48929801794997</v>
      </c>
      <c r="AE3">
        <f>SUM(X$2:X3)</f>
        <v>31.474357427527821</v>
      </c>
      <c r="AF3">
        <f>SUM(Y$2:Y3)</f>
        <v>66.415566322332438</v>
      </c>
      <c r="AG3">
        <f>SUM(Z$2:Z3)</f>
        <v>-21.069110957287975</v>
      </c>
    </row>
    <row r="4" spans="1:33" x14ac:dyDescent="0.35">
      <c r="A4" s="4">
        <v>43435</v>
      </c>
      <c r="B4" s="5">
        <v>130.65820590000001</v>
      </c>
      <c r="C4" s="5">
        <v>129.86588474110701</v>
      </c>
      <c r="D4" s="5">
        <v>125.5541666923917</v>
      </c>
      <c r="E4" s="5">
        <v>127.4965336186275</v>
      </c>
      <c r="F4" s="5">
        <v>130.05843655689401</v>
      </c>
      <c r="G4" s="5">
        <v>129.09657052318079</v>
      </c>
      <c r="H4" s="5">
        <v>130.8033899530808</v>
      </c>
      <c r="I4" s="5">
        <v>129.81483520997591</v>
      </c>
      <c r="J4" s="5">
        <v>124.391623218189</v>
      </c>
      <c r="L4" s="2">
        <f t="shared" si="1"/>
        <v>0.62777281882955138</v>
      </c>
      <c r="M4" s="2">
        <f t="shared" si="1"/>
        <v>26.051216232802858</v>
      </c>
      <c r="N4" s="2">
        <f t="shared" si="0"/>
        <v>9.9961716147992998</v>
      </c>
      <c r="O4" s="2">
        <f t="shared" si="0"/>
        <v>0.35972326492980788</v>
      </c>
      <c r="P4" s="2">
        <f t="shared" si="0"/>
        <v>2.4387050501333243</v>
      </c>
      <c r="Q4" s="2">
        <f t="shared" si="0"/>
        <v>2.1078409268963576E-2</v>
      </c>
      <c r="R4" s="2">
        <f t="shared" si="0"/>
        <v>0.71127412079173002</v>
      </c>
      <c r="S4" s="2">
        <f t="shared" si="0"/>
        <v>39.270058507973751</v>
      </c>
      <c r="U4" s="2">
        <f t="shared" si="2"/>
        <v>-9.3683987959697479</v>
      </c>
      <c r="V4" s="2">
        <f t="shared" si="3"/>
        <v>25.691492967873049</v>
      </c>
      <c r="W4" s="2">
        <f t="shared" si="4"/>
        <v>-1.8109322313037728</v>
      </c>
      <c r="X4" s="2">
        <f t="shared" si="5"/>
        <v>26.030137823533895</v>
      </c>
      <c r="Y4" s="2">
        <f t="shared" si="6"/>
        <v>-8.3501301962178642E-2</v>
      </c>
      <c r="Z4" s="2">
        <f t="shared" si="7"/>
        <v>-13.218842275170893</v>
      </c>
      <c r="AB4">
        <f>SUM(U$2:U4)</f>
        <v>35.575562599719454</v>
      </c>
      <c r="AC4">
        <f>SUM(V$2:V4)</f>
        <v>6.7923511923536637</v>
      </c>
      <c r="AD4">
        <f>SUM(W$2:W4)</f>
        <v>53.678365786646197</v>
      </c>
      <c r="AE4">
        <f>SUM(X$2:X4)</f>
        <v>57.504495251061712</v>
      </c>
      <c r="AF4">
        <f>SUM(Y$2:Y4)</f>
        <v>66.332065020370266</v>
      </c>
      <c r="AG4">
        <f>SUM(Z$2:Z4)</f>
        <v>-34.287953232458868</v>
      </c>
    </row>
    <row r="5" spans="1:33" x14ac:dyDescent="0.35">
      <c r="A5" s="4">
        <v>43525</v>
      </c>
      <c r="B5" s="5">
        <v>131.25074380000001</v>
      </c>
      <c r="C5" s="5">
        <v>132.87829324949459</v>
      </c>
      <c r="D5" s="5">
        <v>129.4430104331573</v>
      </c>
      <c r="E5" s="5">
        <v>133.93573779823771</v>
      </c>
      <c r="F5" s="5">
        <v>134.06105421614191</v>
      </c>
      <c r="G5" s="5">
        <v>134.2619546000353</v>
      </c>
      <c r="H5" s="5">
        <v>133.71794056972391</v>
      </c>
      <c r="I5" s="5">
        <v>131.71551276034</v>
      </c>
      <c r="J5" s="5">
        <v>128.1146632325368</v>
      </c>
      <c r="L5" s="2">
        <f t="shared" si="1"/>
        <v>2.6489172105501115</v>
      </c>
      <c r="M5" s="2">
        <f t="shared" si="1"/>
        <v>3.2678999255964856</v>
      </c>
      <c r="N5" s="2">
        <f t="shared" si="0"/>
        <v>7.209192770572475</v>
      </c>
      <c r="O5" s="2">
        <f t="shared" si="0"/>
        <v>7.8978446350756739</v>
      </c>
      <c r="P5" s="2">
        <f t="shared" si="0"/>
        <v>9.0673904822491487</v>
      </c>
      <c r="Q5" s="2">
        <f t="shared" si="0"/>
        <v>6.0870599005360386</v>
      </c>
      <c r="R5" s="2">
        <f t="shared" si="0"/>
        <v>0.2160101864955202</v>
      </c>
      <c r="S5" s="2">
        <f t="shared" si="0"/>
        <v>9.8350013256203717</v>
      </c>
      <c r="U5" s="2">
        <f t="shared" si="2"/>
        <v>-4.5602755600223635</v>
      </c>
      <c r="V5" s="2">
        <f t="shared" si="3"/>
        <v>-4.6299447094791883</v>
      </c>
      <c r="W5" s="2">
        <f t="shared" si="4"/>
        <v>-6.4184732716990371</v>
      </c>
      <c r="X5" s="2">
        <f t="shared" si="5"/>
        <v>-2.8191599749395531</v>
      </c>
      <c r="Y5" s="2">
        <f t="shared" si="6"/>
        <v>2.4329070240545914</v>
      </c>
      <c r="Z5" s="2">
        <f t="shared" si="7"/>
        <v>-6.5671014000238861</v>
      </c>
      <c r="AB5">
        <f>SUM(U$2:U5)</f>
        <v>31.015287039697093</v>
      </c>
      <c r="AC5">
        <f>SUM(V$2:V5)</f>
        <v>2.1624064828744753</v>
      </c>
      <c r="AD5">
        <f>SUM(W$2:W5)</f>
        <v>47.259892514947161</v>
      </c>
      <c r="AE5">
        <f>SUM(X$2:X5)</f>
        <v>54.68533527612216</v>
      </c>
      <c r="AF5">
        <f>SUM(Y$2:Y5)</f>
        <v>68.764972044424852</v>
      </c>
      <c r="AG5">
        <f>SUM(Z$2:Z5)</f>
        <v>-40.855054632482755</v>
      </c>
    </row>
    <row r="6" spans="1:33" x14ac:dyDescent="0.35">
      <c r="A6" s="4">
        <v>43617</v>
      </c>
      <c r="B6" s="5">
        <v>148.45712449999999</v>
      </c>
      <c r="C6" s="5">
        <v>140.97473738809819</v>
      </c>
      <c r="D6" s="5">
        <v>139.12045487758871</v>
      </c>
      <c r="E6" s="5">
        <v>146.34968046343309</v>
      </c>
      <c r="F6" s="5">
        <v>143.75025423061609</v>
      </c>
      <c r="G6" s="5">
        <v>146.29039066653999</v>
      </c>
      <c r="H6" s="5">
        <v>143.87860835224299</v>
      </c>
      <c r="I6" s="5">
        <v>140.43240260967019</v>
      </c>
      <c r="J6" s="5">
        <v>138.0999553300008</v>
      </c>
      <c r="L6" s="2">
        <f t="shared" si="1"/>
        <v>55.986116892354175</v>
      </c>
      <c r="M6" s="2">
        <f t="shared" si="1"/>
        <v>87.173399638057575</v>
      </c>
      <c r="N6" s="2">
        <f t="shared" si="0"/>
        <v>4.4413203672614037</v>
      </c>
      <c r="O6" s="2">
        <f t="shared" si="0"/>
        <v>22.154627732810056</v>
      </c>
      <c r="P6" s="2">
        <f t="shared" si="0"/>
        <v>4.6947355050602688</v>
      </c>
      <c r="Q6" s="2">
        <f t="shared" si="0"/>
        <v>20.962810115271598</v>
      </c>
      <c r="R6" s="2">
        <f t="shared" si="0"/>
        <v>64.396161417138288</v>
      </c>
      <c r="S6" s="2">
        <f t="shared" si="0"/>
        <v>107.27095321598183</v>
      </c>
      <c r="U6" s="2">
        <f t="shared" si="2"/>
        <v>51.544796525092771</v>
      </c>
      <c r="V6" s="2">
        <f t="shared" si="3"/>
        <v>65.018771905247519</v>
      </c>
      <c r="W6" s="2">
        <f t="shared" si="4"/>
        <v>51.29138138729391</v>
      </c>
      <c r="X6" s="2">
        <f t="shared" si="5"/>
        <v>66.21058952278598</v>
      </c>
      <c r="Y6" s="2">
        <f t="shared" si="6"/>
        <v>-8.4100445247841122</v>
      </c>
      <c r="Z6" s="2">
        <f t="shared" si="7"/>
        <v>-20.097553577924259</v>
      </c>
      <c r="AB6">
        <f>SUM(U$2:U6)</f>
        <v>82.560083564789863</v>
      </c>
      <c r="AC6">
        <f>SUM(V$2:V6)</f>
        <v>67.181178388121992</v>
      </c>
      <c r="AD6">
        <f>SUM(W$2:W6)</f>
        <v>98.551273902241064</v>
      </c>
      <c r="AE6">
        <f>SUM(X$2:X6)</f>
        <v>120.89592479890814</v>
      </c>
      <c r="AF6">
        <f>SUM(Y$2:Y6)</f>
        <v>60.354927519640739</v>
      </c>
      <c r="AG6">
        <f>SUM(Z$2:Z6)</f>
        <v>-60.952608210407014</v>
      </c>
    </row>
    <row r="7" spans="1:33" x14ac:dyDescent="0.35">
      <c r="A7" s="4">
        <v>43709</v>
      </c>
      <c r="B7" s="5">
        <v>126.88155089999999</v>
      </c>
      <c r="C7" s="5">
        <v>134.54392484693579</v>
      </c>
      <c r="D7" s="5">
        <v>130.2494489401177</v>
      </c>
      <c r="E7" s="5">
        <v>127.2382572576919</v>
      </c>
      <c r="F7" s="5">
        <v>130.43245453590461</v>
      </c>
      <c r="G7" s="5">
        <v>129.30299384471789</v>
      </c>
      <c r="H7" s="5">
        <v>131.00865098931641</v>
      </c>
      <c r="I7" s="5">
        <v>128.22607635508331</v>
      </c>
      <c r="J7" s="5">
        <v>128.50422716604001</v>
      </c>
      <c r="L7" s="2">
        <f t="shared" si="1"/>
        <v>58.711974502680533</v>
      </c>
      <c r="M7" s="2">
        <f t="shared" si="1"/>
        <v>11.342737208628701</v>
      </c>
      <c r="N7" s="2">
        <f t="shared" si="0"/>
        <v>0.12723942561782556</v>
      </c>
      <c r="O7" s="2">
        <f t="shared" si="0"/>
        <v>12.608916631480634</v>
      </c>
      <c r="P7" s="2">
        <f t="shared" si="0"/>
        <v>5.8633859345240742</v>
      </c>
      <c r="Q7" s="2">
        <f t="shared" si="0"/>
        <v>17.032955147235555</v>
      </c>
      <c r="R7" s="2">
        <f t="shared" si="0"/>
        <v>1.8077486993669929</v>
      </c>
      <c r="S7" s="2">
        <f t="shared" si="0"/>
        <v>2.6330782643695718</v>
      </c>
      <c r="U7" s="2">
        <f t="shared" si="2"/>
        <v>58.58473507706271</v>
      </c>
      <c r="V7" s="2">
        <f t="shared" si="3"/>
        <v>-1.2661794228519323</v>
      </c>
      <c r="W7" s="2">
        <f t="shared" si="4"/>
        <v>52.848588568156458</v>
      </c>
      <c r="X7" s="2">
        <f t="shared" si="5"/>
        <v>-5.6902179386068532</v>
      </c>
      <c r="Y7" s="2">
        <f t="shared" si="6"/>
        <v>56.904225803313537</v>
      </c>
      <c r="Z7" s="2">
        <f t="shared" si="7"/>
        <v>8.7096589442591288</v>
      </c>
      <c r="AB7">
        <f>SUM(U$2:U7)</f>
        <v>141.14481864185257</v>
      </c>
      <c r="AC7">
        <f>SUM(V$2:V7)</f>
        <v>65.914998965270058</v>
      </c>
      <c r="AD7">
        <f>SUM(W$2:W7)</f>
        <v>151.39986247039752</v>
      </c>
      <c r="AE7">
        <f>SUM(X$2:X7)</f>
        <v>115.20570686030129</v>
      </c>
      <c r="AF7">
        <f>SUM(Y$2:Y7)</f>
        <v>117.25915332295428</v>
      </c>
      <c r="AG7">
        <f>SUM(Z$2:Z7)</f>
        <v>-52.242949266147889</v>
      </c>
    </row>
    <row r="8" spans="1:33" x14ac:dyDescent="0.35">
      <c r="A8" s="4">
        <v>43800</v>
      </c>
      <c r="B8" s="5">
        <v>129.0803702</v>
      </c>
      <c r="C8" s="5">
        <v>130.54921318236649</v>
      </c>
      <c r="D8" s="5">
        <v>132.40990116572979</v>
      </c>
      <c r="E8" s="5">
        <v>127.83790426448221</v>
      </c>
      <c r="F8" s="5">
        <v>134.6796968493455</v>
      </c>
      <c r="G8" s="5">
        <v>127.6574312113017</v>
      </c>
      <c r="H8" s="5">
        <v>134.4026971987835</v>
      </c>
      <c r="I8" s="5">
        <v>129.32011690993659</v>
      </c>
      <c r="J8" s="5">
        <v>129.3864409064866</v>
      </c>
      <c r="L8" s="2">
        <f t="shared" si="1"/>
        <v>2.1574997068472612</v>
      </c>
      <c r="M8" s="2">
        <f t="shared" si="1"/>
        <v>11.085776451753533</v>
      </c>
      <c r="N8" s="2">
        <f t="shared" si="0"/>
        <v>1.5437216009221204</v>
      </c>
      <c r="O8" s="2">
        <f t="shared" si="0"/>
        <v>31.3524589260707</v>
      </c>
      <c r="P8" s="2">
        <f t="shared" si="0"/>
        <v>2.0247553655577568</v>
      </c>
      <c r="Q8" s="2">
        <f t="shared" si="0"/>
        <v>28.327164681979728</v>
      </c>
      <c r="R8" s="2">
        <f t="shared" si="0"/>
        <v>5.74784849254159E-2</v>
      </c>
      <c r="S8" s="2">
        <f t="shared" si="0"/>
        <v>9.3679277369202618E-2</v>
      </c>
      <c r="U8" s="2">
        <f t="shared" si="2"/>
        <v>0.61377810592514082</v>
      </c>
      <c r="V8" s="2">
        <f t="shared" si="3"/>
        <v>-20.266682474317165</v>
      </c>
      <c r="W8" s="2">
        <f t="shared" si="4"/>
        <v>0.13274434128950441</v>
      </c>
      <c r="X8" s="2">
        <f t="shared" si="5"/>
        <v>-17.241388230226192</v>
      </c>
      <c r="Y8" s="2">
        <f t="shared" si="6"/>
        <v>2.1000212219218453</v>
      </c>
      <c r="Z8" s="2">
        <f t="shared" si="7"/>
        <v>10.99209717438433</v>
      </c>
      <c r="AB8">
        <f>SUM(U$2:U8)</f>
        <v>141.75859674777772</v>
      </c>
      <c r="AC8">
        <f>SUM(V$2:V8)</f>
        <v>45.648316490952894</v>
      </c>
      <c r="AD8">
        <f>SUM(W$2:W8)</f>
        <v>151.53260681168703</v>
      </c>
      <c r="AE8">
        <f>SUM(X$2:X8)</f>
        <v>97.964318630075098</v>
      </c>
      <c r="AF8">
        <f>SUM(Y$2:Y8)</f>
        <v>119.35917454487613</v>
      </c>
      <c r="AG8">
        <f>SUM(Z$2:Z8)</f>
        <v>-41.250852091763562</v>
      </c>
    </row>
    <row r="9" spans="1:33" x14ac:dyDescent="0.35">
      <c r="A9" s="4">
        <v>43891</v>
      </c>
      <c r="B9" s="5">
        <v>126.3009824</v>
      </c>
      <c r="C9" s="5">
        <v>129.93711521627679</v>
      </c>
      <c r="D9" s="5">
        <v>131.8415481110799</v>
      </c>
      <c r="E9" s="5">
        <v>129.76057065513319</v>
      </c>
      <c r="F9" s="5">
        <v>133.1934701149265</v>
      </c>
      <c r="G9" s="5">
        <v>130.57458905193039</v>
      </c>
      <c r="H9" s="5">
        <v>134.02225012426169</v>
      </c>
      <c r="I9" s="5">
        <v>131.56020452861341</v>
      </c>
      <c r="J9" s="5">
        <v>131.1504315411301</v>
      </c>
      <c r="L9" s="2">
        <f t="shared" si="1"/>
        <v>13.221461857605046</v>
      </c>
      <c r="M9" s="2">
        <f t="shared" si="1"/>
        <v>30.697868398794395</v>
      </c>
      <c r="N9" s="2">
        <f t="shared" si="0"/>
        <v>11.968750895055567</v>
      </c>
      <c r="O9" s="2">
        <f t="shared" si="0"/>
        <v>47.506386900412764</v>
      </c>
      <c r="P9" s="2">
        <f t="shared" si="0"/>
        <v>18.263713815423706</v>
      </c>
      <c r="Q9" s="2">
        <f t="shared" si="0"/>
        <v>59.617975269725349</v>
      </c>
      <c r="R9" s="2">
        <f t="shared" si="0"/>
        <v>27.659417398097034</v>
      </c>
      <c r="S9" s="2">
        <f t="shared" si="0"/>
        <v>23.517156972407545</v>
      </c>
      <c r="U9" s="2">
        <f t="shared" si="2"/>
        <v>1.2527109625494788</v>
      </c>
      <c r="V9" s="2">
        <f t="shared" si="3"/>
        <v>-16.808518501618369</v>
      </c>
      <c r="W9" s="2">
        <f t="shared" si="4"/>
        <v>-5.0422519578186602</v>
      </c>
      <c r="X9" s="2">
        <f t="shared" si="5"/>
        <v>-28.920106870930955</v>
      </c>
      <c r="Y9" s="2">
        <f t="shared" si="6"/>
        <v>-14.437955540491988</v>
      </c>
      <c r="Z9" s="2">
        <f t="shared" si="7"/>
        <v>7.1807114263868499</v>
      </c>
      <c r="AB9">
        <f>SUM(U$2:U9)</f>
        <v>143.0113077103272</v>
      </c>
      <c r="AC9">
        <f>SUM(V$2:V9)</f>
        <v>28.839797989334524</v>
      </c>
      <c r="AD9">
        <f>SUM(W$2:W9)</f>
        <v>146.49035485386838</v>
      </c>
      <c r="AE9">
        <f>SUM(X$2:X9)</f>
        <v>69.044211759144147</v>
      </c>
      <c r="AF9">
        <f>SUM(Y$2:Y9)</f>
        <v>104.92121900438414</v>
      </c>
      <c r="AG9">
        <f>SUM(Z$2:Z9)</f>
        <v>-34.070140665376712</v>
      </c>
    </row>
    <row r="10" spans="1:33" x14ac:dyDescent="0.35">
      <c r="A10" s="4">
        <v>43983</v>
      </c>
      <c r="B10" s="5">
        <v>120.64658590000001</v>
      </c>
      <c r="C10" s="5">
        <v>143.0396560893781</v>
      </c>
      <c r="D10" s="5">
        <v>148.22686937194601</v>
      </c>
      <c r="E10" s="5">
        <v>133.57360075442409</v>
      </c>
      <c r="F10" s="5">
        <v>140.6520078535128</v>
      </c>
      <c r="G10" s="5">
        <v>136.52282896839111</v>
      </c>
      <c r="H10" s="5">
        <v>141.2265925917593</v>
      </c>
      <c r="I10" s="5">
        <v>140.99937406461331</v>
      </c>
      <c r="J10" s="5">
        <v>141.53577244339991</v>
      </c>
      <c r="L10" s="2">
        <f t="shared" si="1"/>
        <v>501.44959250641386</v>
      </c>
      <c r="M10" s="2">
        <f t="shared" si="1"/>
        <v>760.67203639289789</v>
      </c>
      <c r="N10" s="2">
        <f t="shared" si="0"/>
        <v>167.107713046501</v>
      </c>
      <c r="O10" s="2">
        <f t="shared" si="0"/>
        <v>400.21690753809168</v>
      </c>
      <c r="P10" s="2">
        <f t="shared" si="0"/>
        <v>252.0550939666366</v>
      </c>
      <c r="Q10" s="2">
        <f t="shared" si="0"/>
        <v>423.53667543285735</v>
      </c>
      <c r="R10" s="2">
        <f t="shared" si="0"/>
        <v>414.23598607362328</v>
      </c>
      <c r="S10" s="2">
        <f t="shared" si="0"/>
        <v>436.35811444495954</v>
      </c>
      <c r="U10" s="2">
        <f t="shared" si="2"/>
        <v>334.34187945991289</v>
      </c>
      <c r="V10" s="2">
        <f t="shared" si="3"/>
        <v>360.45512885480622</v>
      </c>
      <c r="W10" s="2">
        <f t="shared" si="4"/>
        <v>249.39449853977726</v>
      </c>
      <c r="X10" s="2">
        <f t="shared" si="5"/>
        <v>337.13536096004054</v>
      </c>
      <c r="Y10" s="2">
        <f t="shared" si="6"/>
        <v>87.213606432790584</v>
      </c>
      <c r="Z10" s="2">
        <f t="shared" si="7"/>
        <v>324.31392194793835</v>
      </c>
      <c r="AB10">
        <f>SUM(U$2:U10)</f>
        <v>477.35318717024006</v>
      </c>
      <c r="AC10">
        <f>SUM(V$2:V10)</f>
        <v>389.29492684414072</v>
      </c>
      <c r="AD10">
        <f>SUM(W$2:W10)</f>
        <v>395.88485339364564</v>
      </c>
      <c r="AE10">
        <f>SUM(X$2:X10)</f>
        <v>406.1795727191847</v>
      </c>
      <c r="AF10">
        <f>SUM(Y$2:Y10)</f>
        <v>192.13482543717473</v>
      </c>
      <c r="AG10">
        <f>SUM(Z$2:Z10)</f>
        <v>290.24378128256166</v>
      </c>
    </row>
    <row r="11" spans="1:33" x14ac:dyDescent="0.35">
      <c r="A11" s="4">
        <v>44075</v>
      </c>
      <c r="B11" s="5">
        <v>122.8310121</v>
      </c>
      <c r="C11" s="5">
        <v>110.8675527988199</v>
      </c>
      <c r="D11" s="5">
        <v>126.9892277306754</v>
      </c>
      <c r="E11" s="5">
        <v>111.8718758192301</v>
      </c>
      <c r="F11" s="5">
        <v>129.35803521641009</v>
      </c>
      <c r="G11" s="5">
        <v>110.7068273544422</v>
      </c>
      <c r="H11" s="5">
        <v>130.10107552479101</v>
      </c>
      <c r="I11" s="5">
        <v>125.8918034660108</v>
      </c>
      <c r="J11" s="5">
        <v>128.98154454029</v>
      </c>
      <c r="L11" s="2">
        <f t="shared" si="1"/>
        <v>143.1243584509925</v>
      </c>
      <c r="M11" s="2">
        <f t="shared" si="1"/>
        <v>17.290757231193215</v>
      </c>
      <c r="N11" s="2">
        <f t="shared" si="0"/>
        <v>120.10266802048706</v>
      </c>
      <c r="O11" s="2">
        <f t="shared" si="0"/>
        <v>42.602030762151706</v>
      </c>
      <c r="P11" s="2">
        <f t="shared" si="0"/>
        <v>146.99585574441642</v>
      </c>
      <c r="Q11" s="2">
        <f t="shared" si="0"/>
        <v>52.853822200484117</v>
      </c>
      <c r="R11" s="2">
        <f t="shared" si="0"/>
        <v>9.3684437862462833</v>
      </c>
      <c r="S11" s="2">
        <f t="shared" si="0"/>
        <v>37.829049299059754</v>
      </c>
      <c r="U11" s="2">
        <f t="shared" si="2"/>
        <v>23.021690430505444</v>
      </c>
      <c r="V11" s="2">
        <f t="shared" si="3"/>
        <v>-25.311273530958491</v>
      </c>
      <c r="W11" s="2">
        <f t="shared" si="4"/>
        <v>-3.8714972934239142</v>
      </c>
      <c r="X11" s="2">
        <f t="shared" si="5"/>
        <v>-35.563064969290906</v>
      </c>
      <c r="Y11" s="2">
        <f t="shared" si="6"/>
        <v>133.75591466474623</v>
      </c>
      <c r="Z11" s="2">
        <f t="shared" si="7"/>
        <v>-20.538292067866539</v>
      </c>
      <c r="AB11">
        <f>SUM(U$2:U11)</f>
        <v>500.37487760074549</v>
      </c>
      <c r="AC11">
        <f>SUM(V$2:V11)</f>
        <v>363.98365331318223</v>
      </c>
      <c r="AD11">
        <f>SUM(W$2:W11)</f>
        <v>392.0133561002217</v>
      </c>
      <c r="AE11">
        <f>SUM(X$2:X11)</f>
        <v>370.6165077498938</v>
      </c>
      <c r="AF11">
        <f>SUM(Y$2:Y11)</f>
        <v>325.89074010192098</v>
      </c>
      <c r="AG11">
        <f>SUM(Z$2:Z11)</f>
        <v>269.70548921469509</v>
      </c>
    </row>
    <row r="12" spans="1:33" x14ac:dyDescent="0.35">
      <c r="A12" s="4">
        <v>44166</v>
      </c>
      <c r="B12" s="5">
        <v>127.2570825</v>
      </c>
      <c r="C12" s="5">
        <v>125.63366291688681</v>
      </c>
      <c r="D12" s="5">
        <v>129.82489330135229</v>
      </c>
      <c r="E12" s="5">
        <v>124.1124051519198</v>
      </c>
      <c r="F12" s="5">
        <v>127.4812809414056</v>
      </c>
      <c r="G12" s="5">
        <v>123.6414292774334</v>
      </c>
      <c r="H12" s="5">
        <v>127.933376355931</v>
      </c>
      <c r="I12" s="5">
        <v>125.2479570960501</v>
      </c>
      <c r="J12" s="5">
        <v>129.4511054051801</v>
      </c>
      <c r="L12" s="2">
        <f t="shared" si="1"/>
        <v>2.6354911428354031</v>
      </c>
      <c r="M12" s="2">
        <f t="shared" si="1"/>
        <v>6.5936523115415122</v>
      </c>
      <c r="N12" s="2">
        <f t="shared" si="0"/>
        <v>9.8889956235286807</v>
      </c>
      <c r="O12" s="2">
        <f t="shared" si="0"/>
        <v>5.0264941128702431E-2</v>
      </c>
      <c r="P12" s="2">
        <f t="shared" si="0"/>
        <v>13.072948225856187</v>
      </c>
      <c r="Q12" s="2">
        <f t="shared" si="0"/>
        <v>0.45737337957002994</v>
      </c>
      <c r="R12" s="2">
        <f t="shared" si="0"/>
        <v>4.0365848887968285</v>
      </c>
      <c r="S12" s="2">
        <f t="shared" si="0"/>
        <v>4.8137365084549497</v>
      </c>
      <c r="U12" s="2">
        <f t="shared" si="2"/>
        <v>-7.2535044806932776</v>
      </c>
      <c r="V12" s="2">
        <f t="shared" si="3"/>
        <v>6.5433873704128098</v>
      </c>
      <c r="W12" s="2">
        <f t="shared" si="4"/>
        <v>-10.437457083020785</v>
      </c>
      <c r="X12" s="2">
        <f t="shared" si="5"/>
        <v>6.1362789319714821</v>
      </c>
      <c r="Y12" s="2">
        <f t="shared" si="6"/>
        <v>-1.4010937459614254</v>
      </c>
      <c r="Z12" s="2">
        <f t="shared" si="7"/>
        <v>1.7799158030865625</v>
      </c>
      <c r="AB12">
        <f>SUM(U$2:U12)</f>
        <v>493.12137312005223</v>
      </c>
      <c r="AC12">
        <f>SUM(V$2:V12)</f>
        <v>370.52704068359503</v>
      </c>
      <c r="AD12">
        <f>SUM(W$2:W12)</f>
        <v>381.57589901720092</v>
      </c>
      <c r="AE12">
        <f>SUM(X$2:X12)</f>
        <v>376.7527866818653</v>
      </c>
      <c r="AF12">
        <f>SUM(Y$2:Y12)</f>
        <v>324.48964635595956</v>
      </c>
      <c r="AG12">
        <f>SUM(Z$2:Z12)</f>
        <v>271.48540501778166</v>
      </c>
    </row>
    <row r="13" spans="1:33" x14ac:dyDescent="0.35">
      <c r="A13" s="4">
        <v>44256</v>
      </c>
      <c r="B13" s="5">
        <v>132.16170170000001</v>
      </c>
      <c r="C13" s="5">
        <v>125.08948335926399</v>
      </c>
      <c r="D13" s="5">
        <v>126.12359689272159</v>
      </c>
      <c r="E13" s="5">
        <v>129.4111863588609</v>
      </c>
      <c r="F13" s="5">
        <v>132.05299129289929</v>
      </c>
      <c r="G13" s="5">
        <v>129.26535451113369</v>
      </c>
      <c r="H13" s="5">
        <v>131.82738057964491</v>
      </c>
      <c r="I13" s="5">
        <v>129.25677250946001</v>
      </c>
      <c r="J13" s="5">
        <v>129.74648568446671</v>
      </c>
      <c r="L13" s="2">
        <f t="shared" si="1"/>
        <v>50.016272259042871</v>
      </c>
      <c r="M13" s="2">
        <f t="shared" si="1"/>
        <v>36.458709663678711</v>
      </c>
      <c r="N13" s="2">
        <f t="shared" si="0"/>
        <v>7.5653346418415746</v>
      </c>
      <c r="O13" s="2">
        <f t="shared" si="0"/>
        <v>1.1817952612003428E-2</v>
      </c>
      <c r="P13" s="2">
        <f t="shared" si="0"/>
        <v>8.3888270384538064</v>
      </c>
      <c r="Q13" s="2">
        <f t="shared" si="0"/>
        <v>0.1117706115154888</v>
      </c>
      <c r="R13" s="2">
        <f t="shared" si="0"/>
        <v>8.4386136020513938</v>
      </c>
      <c r="S13" s="2">
        <f t="shared" si="0"/>
        <v>5.8332684016885672</v>
      </c>
      <c r="U13" s="2">
        <f t="shared" si="2"/>
        <v>42.450937617201298</v>
      </c>
      <c r="V13" s="2">
        <f t="shared" si="3"/>
        <v>36.446891711066705</v>
      </c>
      <c r="W13" s="2">
        <f t="shared" si="4"/>
        <v>41.627445220589067</v>
      </c>
      <c r="X13" s="2">
        <f t="shared" si="5"/>
        <v>36.346939052163222</v>
      </c>
      <c r="Y13" s="2">
        <f t="shared" si="6"/>
        <v>41.577658656991474</v>
      </c>
      <c r="Z13" s="2">
        <f t="shared" si="7"/>
        <v>30.625441261990144</v>
      </c>
      <c r="AB13">
        <f>SUM(U$2:U13)</f>
        <v>535.57231073725347</v>
      </c>
      <c r="AC13">
        <f>SUM(V$2:V13)</f>
        <v>406.97393239466174</v>
      </c>
      <c r="AD13">
        <f>SUM(W$2:W13)</f>
        <v>423.20334423779002</v>
      </c>
      <c r="AE13">
        <f>SUM(X$2:X13)</f>
        <v>413.09972573402854</v>
      </c>
      <c r="AF13">
        <f>SUM(Y$2:Y13)</f>
        <v>366.06730501295101</v>
      </c>
      <c r="AG13">
        <f>SUM(Z$2:Z13)</f>
        <v>302.11084627977181</v>
      </c>
    </row>
    <row r="14" spans="1:33" x14ac:dyDescent="0.35">
      <c r="A14" s="4">
        <v>44348</v>
      </c>
      <c r="B14" s="5">
        <v>155.02468479999999</v>
      </c>
      <c r="C14" s="5">
        <v>125.2201262544915</v>
      </c>
      <c r="D14" s="5">
        <v>115.8943099336297</v>
      </c>
      <c r="E14" s="5">
        <v>143.6867295597057</v>
      </c>
      <c r="F14" s="5">
        <v>142.8942354001197</v>
      </c>
      <c r="G14" s="5">
        <v>142.44353574119719</v>
      </c>
      <c r="H14" s="5">
        <v>142.16140849605901</v>
      </c>
      <c r="I14" s="5">
        <v>129.3408827867668</v>
      </c>
      <c r="J14" s="5">
        <v>137.64400532680679</v>
      </c>
      <c r="L14" s="2">
        <f t="shared" si="1"/>
        <v>888.3117100926429</v>
      </c>
      <c r="M14" s="6">
        <f>(D14-$B14)^2</f>
        <v>1531.1862371826637</v>
      </c>
      <c r="N14" s="2">
        <f t="shared" si="0"/>
        <v>128.54922903091679</v>
      </c>
      <c r="O14" s="2">
        <f t="shared" si="0"/>
        <v>147.14780264305611</v>
      </c>
      <c r="P14" s="2">
        <f t="shared" si="0"/>
        <v>158.28531163981441</v>
      </c>
      <c r="Q14" s="2">
        <f t="shared" si="0"/>
        <v>165.46387727152947</v>
      </c>
      <c r="R14" s="2">
        <f t="shared" si="0"/>
        <v>659.6576858549613</v>
      </c>
      <c r="S14" s="2">
        <f t="shared" si="0"/>
        <v>302.08801894987937</v>
      </c>
      <c r="U14" s="2">
        <f>$L14-N14</f>
        <v>759.76248106172613</v>
      </c>
      <c r="V14" s="2">
        <f t="shared" si="3"/>
        <v>1384.0384345396076</v>
      </c>
      <c r="W14" s="2">
        <f t="shared" si="4"/>
        <v>730.02639845282852</v>
      </c>
      <c r="X14" s="2">
        <f t="shared" si="5"/>
        <v>1365.7223599111342</v>
      </c>
      <c r="Y14" s="2">
        <f t="shared" si="6"/>
        <v>228.6540242376816</v>
      </c>
      <c r="Z14" s="2">
        <f t="shared" si="7"/>
        <v>1229.0982182327843</v>
      </c>
      <c r="AB14">
        <f>SUM(U$2:U14)</f>
        <v>1295.3347917989795</v>
      </c>
      <c r="AC14">
        <f>SUM(V$2:V14)</f>
        <v>1791.0123669342693</v>
      </c>
      <c r="AD14">
        <f>SUM(W$2:W14)</f>
        <v>1153.2297426906184</v>
      </c>
      <c r="AE14">
        <f>SUM(X$2:X14)</f>
        <v>1778.8220856451626</v>
      </c>
      <c r="AF14">
        <f>SUM(Y$2:Y14)</f>
        <v>594.72132925063261</v>
      </c>
      <c r="AG14">
        <f>SUM(Z$2:Z14)</f>
        <v>1531.2090645125561</v>
      </c>
    </row>
    <row r="15" spans="1:33" x14ac:dyDescent="0.35">
      <c r="A15" s="4">
        <v>44440</v>
      </c>
      <c r="B15" s="5">
        <v>125.5808748</v>
      </c>
      <c r="C15" s="5">
        <v>143.6251645415268</v>
      </c>
      <c r="D15" s="5">
        <v>122.995464021903</v>
      </c>
      <c r="E15" s="5">
        <v>131.0127253646707</v>
      </c>
      <c r="F15" s="5">
        <v>128.622597947694</v>
      </c>
      <c r="G15" s="5">
        <v>130.74018812581369</v>
      </c>
      <c r="H15" s="5">
        <v>128.06612299164641</v>
      </c>
      <c r="I15" s="5">
        <v>128.4664292228633</v>
      </c>
      <c r="J15" s="5">
        <v>127.0957482192033</v>
      </c>
      <c r="L15" s="2">
        <f t="shared" si="1"/>
        <v>325.59639227616918</v>
      </c>
      <c r="M15" s="2">
        <f t="shared" si="1"/>
        <v>6.6843488915001332</v>
      </c>
      <c r="N15" s="2">
        <f t="shared" si="0"/>
        <v>29.505000556913366</v>
      </c>
      <c r="O15" s="2">
        <f t="shared" si="0"/>
        <v>9.2520797072174972</v>
      </c>
      <c r="P15" s="2">
        <f t="shared" si="0"/>
        <v>26.618513993918661</v>
      </c>
      <c r="Q15" s="2">
        <f t="shared" si="0"/>
        <v>6.1764585740817299</v>
      </c>
      <c r="R15" s="2">
        <f t="shared" si="0"/>
        <v>8.3264243273059151</v>
      </c>
      <c r="S15" s="2">
        <f t="shared" si="0"/>
        <v>2.2948414762086897</v>
      </c>
      <c r="U15" s="2">
        <f t="shared" si="2"/>
        <v>296.0913917192558</v>
      </c>
      <c r="V15" s="2">
        <f t="shared" si="3"/>
        <v>-2.5677308157173639</v>
      </c>
      <c r="W15" s="2">
        <f t="shared" si="4"/>
        <v>298.97787828225051</v>
      </c>
      <c r="X15" s="2">
        <f t="shared" si="5"/>
        <v>0.50789031741840329</v>
      </c>
      <c r="Y15" s="2">
        <f t="shared" si="6"/>
        <v>317.26996794886327</v>
      </c>
      <c r="Z15" s="2">
        <f t="shared" si="7"/>
        <v>4.3895074152914439</v>
      </c>
      <c r="AB15">
        <f>SUM(U$2:U15)</f>
        <v>1591.4261835182353</v>
      </c>
      <c r="AC15">
        <f>SUM(V$2:V15)</f>
        <v>1788.4446361185519</v>
      </c>
      <c r="AD15">
        <f>SUM(W$2:W15)</f>
        <v>1452.2076209728689</v>
      </c>
      <c r="AE15">
        <f>SUM(X$2:X15)</f>
        <v>1779.3299759625811</v>
      </c>
      <c r="AF15">
        <f>SUM(Y$2:Y15)</f>
        <v>911.99129719949588</v>
      </c>
      <c r="AG15">
        <f>SUM(Z$2:Z15)</f>
        <v>1535.5985719278476</v>
      </c>
    </row>
    <row r="16" spans="1:33" x14ac:dyDescent="0.35">
      <c r="A16" s="4">
        <v>44531</v>
      </c>
      <c r="B16" s="5">
        <v>130.38867619999999</v>
      </c>
      <c r="C16" s="5">
        <v>131.4551047160945</v>
      </c>
      <c r="D16" s="5">
        <v>126.3403014441393</v>
      </c>
      <c r="E16" s="5">
        <v>133.2269345240185</v>
      </c>
      <c r="F16" s="5">
        <v>126.4152228028701</v>
      </c>
      <c r="G16" s="5">
        <v>130.4572754776402</v>
      </c>
      <c r="H16" s="5">
        <v>127.3113871012674</v>
      </c>
      <c r="I16" s="5">
        <v>129.23981129897649</v>
      </c>
      <c r="J16" s="5">
        <v>127.6825362335</v>
      </c>
      <c r="L16" s="2">
        <f t="shared" si="1"/>
        <v>1.1372697799395262</v>
      </c>
      <c r="M16" s="2">
        <f t="shared" si="1"/>
        <v>16.38933816389012</v>
      </c>
      <c r="N16" s="2">
        <f t="shared" si="0"/>
        <v>8.0557103138603683</v>
      </c>
      <c r="O16" s="2">
        <f t="shared" si="0"/>
        <v>15.788331899163042</v>
      </c>
      <c r="P16" s="2">
        <f t="shared" si="0"/>
        <v>4.7058608927576726E-3</v>
      </c>
      <c r="Q16" s="2">
        <f t="shared" si="0"/>
        <v>9.4697081971784502</v>
      </c>
      <c r="R16" s="2">
        <f t="shared" si="0"/>
        <v>1.3198905608037383</v>
      </c>
      <c r="S16" s="2">
        <f t="shared" si="0"/>
        <v>7.3231935182885648</v>
      </c>
      <c r="U16" s="2">
        <f t="shared" si="2"/>
        <v>-6.9184405339208421</v>
      </c>
      <c r="V16" s="2">
        <f t="shared" si="3"/>
        <v>0.60100626472707752</v>
      </c>
      <c r="W16" s="2">
        <f t="shared" si="4"/>
        <v>1.1325639190467685</v>
      </c>
      <c r="X16" s="2">
        <f t="shared" si="5"/>
        <v>6.9196299667116694</v>
      </c>
      <c r="Y16" s="2">
        <f t="shared" si="6"/>
        <v>-0.18262078086421218</v>
      </c>
      <c r="Z16" s="2">
        <f t="shared" si="7"/>
        <v>9.066144645601554</v>
      </c>
      <c r="AB16">
        <f>SUM(U$2:U16)</f>
        <v>1584.5077429843145</v>
      </c>
      <c r="AC16">
        <f>SUM(V$2:V16)</f>
        <v>1789.0456423832791</v>
      </c>
      <c r="AD16">
        <f>SUM(W$2:W16)</f>
        <v>1453.3401848919157</v>
      </c>
      <c r="AE16">
        <f>SUM(X$2:X16)</f>
        <v>1786.2496059292928</v>
      </c>
      <c r="AF16">
        <f>SUM(Y$2:Y16)</f>
        <v>911.80867641863165</v>
      </c>
      <c r="AG16">
        <f>SUM(Z$2:Z16)</f>
        <v>1544.6647165734491</v>
      </c>
    </row>
    <row r="17" spans="1:33" x14ac:dyDescent="0.35">
      <c r="A17" s="4">
        <v>44621</v>
      </c>
      <c r="B17" s="5">
        <v>128.8725231</v>
      </c>
      <c r="C17" s="5">
        <v>136.752195707233</v>
      </c>
      <c r="D17" s="5">
        <v>131.1658068511282</v>
      </c>
      <c r="E17" s="5">
        <v>125.5947114356055</v>
      </c>
      <c r="F17" s="5">
        <v>129.81673716713419</v>
      </c>
      <c r="G17" s="5">
        <v>127.4519815660492</v>
      </c>
      <c r="H17" s="5">
        <v>130.2699153665618</v>
      </c>
      <c r="I17" s="5">
        <v>131.2035107649933</v>
      </c>
      <c r="J17" s="5">
        <v>129.83435914799341</v>
      </c>
      <c r="L17" s="2">
        <f t="shared" si="1"/>
        <v>62.089240397178173</v>
      </c>
      <c r="M17" s="2">
        <f t="shared" si="1"/>
        <v>5.2591503631886294</v>
      </c>
      <c r="N17" s="2">
        <f t="shared" si="0"/>
        <v>10.744049307240585</v>
      </c>
      <c r="O17" s="2">
        <f t="shared" si="0"/>
        <v>0.89154020457410266</v>
      </c>
      <c r="P17" s="2">
        <f t="shared" si="0"/>
        <v>2.0179382496792821</v>
      </c>
      <c r="Q17" s="2">
        <f t="shared" si="0"/>
        <v>1.95270514664675</v>
      </c>
      <c r="R17" s="2">
        <f t="shared" si="0"/>
        <v>5.4335034943509246</v>
      </c>
      <c r="S17" s="2">
        <f t="shared" si="0"/>
        <v>0.92512858321959168</v>
      </c>
      <c r="U17" s="2">
        <f t="shared" si="2"/>
        <v>51.345191089937586</v>
      </c>
      <c r="V17" s="2">
        <f t="shared" si="3"/>
        <v>4.3676101586145268</v>
      </c>
      <c r="W17" s="2">
        <f t="shared" si="4"/>
        <v>60.071302147498891</v>
      </c>
      <c r="X17" s="2">
        <f t="shared" si="5"/>
        <v>3.3064452165418796</v>
      </c>
      <c r="Y17" s="2">
        <f t="shared" si="6"/>
        <v>56.65573690282725</v>
      </c>
      <c r="Z17" s="2">
        <f t="shared" si="7"/>
        <v>4.3340217799690377</v>
      </c>
      <c r="AB17">
        <f>SUM(U$2:U17)</f>
        <v>1635.8529340742521</v>
      </c>
      <c r="AC17">
        <f>SUM(V$2:V17)</f>
        <v>1793.4132525418936</v>
      </c>
      <c r="AD17">
        <f>SUM(W$2:W17)</f>
        <v>1513.4114870394146</v>
      </c>
      <c r="AE17">
        <f>SUM(X$2:X17)</f>
        <v>1789.5560511458348</v>
      </c>
      <c r="AF17">
        <f>SUM(Y$2:Y17)</f>
        <v>968.46441332145889</v>
      </c>
      <c r="AG17">
        <f>SUM(Z$2:Z17)</f>
        <v>1548.9987383534183</v>
      </c>
    </row>
    <row r="18" spans="1:33" x14ac:dyDescent="0.35">
      <c r="A18" s="4">
        <v>44713</v>
      </c>
      <c r="B18" s="5">
        <v>138.52700680000001</v>
      </c>
      <c r="C18" s="5">
        <v>146.98700499799361</v>
      </c>
      <c r="D18" s="5">
        <v>136.07019217187519</v>
      </c>
      <c r="E18" s="5">
        <v>144.3417033552841</v>
      </c>
      <c r="F18" s="5">
        <v>141.82263299195449</v>
      </c>
      <c r="G18" s="5">
        <v>143.81759373646801</v>
      </c>
      <c r="H18" s="5">
        <v>142.85164044322141</v>
      </c>
      <c r="I18" s="5">
        <v>140.66869890549339</v>
      </c>
      <c r="J18" s="5">
        <v>140.48116811790331</v>
      </c>
      <c r="L18" s="2">
        <f t="shared" si="1"/>
        <v>71.571569510054942</v>
      </c>
      <c r="M18" s="2">
        <f t="shared" si="1"/>
        <v>6.0359381169680857</v>
      </c>
      <c r="N18" s="2">
        <f t="shared" si="1"/>
        <v>33.810696030032624</v>
      </c>
      <c r="O18" s="2">
        <f t="shared" si="1"/>
        <v>10.861151997096407</v>
      </c>
      <c r="P18" s="2">
        <f t="shared" si="1"/>
        <v>27.990310132325888</v>
      </c>
      <c r="Q18" s="2">
        <f t="shared" si="1"/>
        <v>18.70245614808243</v>
      </c>
      <c r="R18" s="2">
        <f t="shared" si="1"/>
        <v>4.5868450747326523</v>
      </c>
      <c r="S18" s="2">
        <f t="shared" si="1"/>
        <v>3.8187464563895595</v>
      </c>
      <c r="U18" s="2">
        <f t="shared" si="2"/>
        <v>37.760873480022319</v>
      </c>
      <c r="V18" s="2">
        <f t="shared" si="3"/>
        <v>-4.8252138801283211</v>
      </c>
      <c r="W18" s="2">
        <f t="shared" si="4"/>
        <v>43.581259377729054</v>
      </c>
      <c r="X18" s="2">
        <f t="shared" si="5"/>
        <v>-12.666518031114343</v>
      </c>
      <c r="Y18" s="2">
        <f t="shared" si="6"/>
        <v>66.984724435322292</v>
      </c>
      <c r="Z18" s="2">
        <f t="shared" si="7"/>
        <v>2.2171916605785262</v>
      </c>
      <c r="AB18">
        <f>SUM(U$2:U18)</f>
        <v>1673.6138075542744</v>
      </c>
      <c r="AC18">
        <f>SUM(V$2:V18)</f>
        <v>1788.5880386617653</v>
      </c>
      <c r="AD18">
        <f>SUM(W$2:W18)</f>
        <v>1556.9927464171437</v>
      </c>
      <c r="AE18">
        <f>SUM(X$2:X18)</f>
        <v>1776.8895331147205</v>
      </c>
      <c r="AF18">
        <f>SUM(Y$2:Y18)</f>
        <v>1035.4491377567813</v>
      </c>
      <c r="AG18">
        <f>SUM(Z$2:Z18)</f>
        <v>1551.2159300139967</v>
      </c>
    </row>
    <row r="19" spans="1:33" x14ac:dyDescent="0.35">
      <c r="A19" s="4">
        <v>44805</v>
      </c>
      <c r="B19" s="5">
        <v>129.17428140000001</v>
      </c>
      <c r="C19" s="5">
        <v>124.2639690087864</v>
      </c>
      <c r="D19" s="5">
        <v>128.22489923110629</v>
      </c>
      <c r="E19" s="5">
        <v>127.02695563772591</v>
      </c>
      <c r="F19" s="5">
        <v>129.55793100652821</v>
      </c>
      <c r="G19" s="5">
        <v>126.2300464839788</v>
      </c>
      <c r="H19" s="5">
        <v>128.09639964964751</v>
      </c>
      <c r="I19" s="5">
        <v>129.49247455048661</v>
      </c>
      <c r="J19" s="5">
        <v>127.1877703558533</v>
      </c>
      <c r="L19" s="2">
        <f t="shared" si="1"/>
        <v>24.111167779305905</v>
      </c>
      <c r="M19" s="2">
        <f t="shared" si="1"/>
        <v>0.90132650261334446</v>
      </c>
      <c r="N19" s="2">
        <f t="shared" si="1"/>
        <v>4.6110079293260764</v>
      </c>
      <c r="O19" s="2">
        <f t="shared" si="1"/>
        <v>0.14718702058923877</v>
      </c>
      <c r="P19" s="2">
        <f t="shared" si="1"/>
        <v>8.6685192407184566</v>
      </c>
      <c r="Q19" s="2">
        <f t="shared" si="1"/>
        <v>1.1618290677429763</v>
      </c>
      <c r="R19" s="2">
        <f t="shared" si="1"/>
        <v>0.10124688101658356</v>
      </c>
      <c r="S19" s="2">
        <f t="shared" si="1"/>
        <v>3.9462261285168503</v>
      </c>
      <c r="U19" s="2">
        <f t="shared" si="2"/>
        <v>19.500159849979831</v>
      </c>
      <c r="V19" s="2">
        <f t="shared" si="3"/>
        <v>0.75413948202410563</v>
      </c>
      <c r="W19" s="2">
        <f t="shared" si="4"/>
        <v>15.442648538587449</v>
      </c>
      <c r="X19" s="2">
        <f t="shared" si="5"/>
        <v>-0.26050256512963188</v>
      </c>
      <c r="Y19" s="2">
        <f t="shared" si="6"/>
        <v>24.009920898289323</v>
      </c>
      <c r="Z19" s="2">
        <f t="shared" si="7"/>
        <v>-3.0448996259035059</v>
      </c>
      <c r="AB19">
        <f>SUM(U$2:U19)</f>
        <v>1693.1139674042543</v>
      </c>
      <c r="AC19">
        <f>SUM(V$2:V19)</f>
        <v>1789.3421781437894</v>
      </c>
      <c r="AD19">
        <f>SUM(W$2:W19)</f>
        <v>1572.4353949557312</v>
      </c>
      <c r="AE19">
        <f>SUM(X$2:X19)</f>
        <v>1776.6290305495909</v>
      </c>
      <c r="AF19">
        <f>SUM(Y$2:Y19)</f>
        <v>1059.4590586550705</v>
      </c>
      <c r="AG19">
        <f>SUM(Z$2:Z19)</f>
        <v>1548.1710303880932</v>
      </c>
    </row>
    <row r="20" spans="1:33" x14ac:dyDescent="0.35">
      <c r="A20" s="4">
        <v>44896</v>
      </c>
      <c r="B20" s="5">
        <v>132.3938015</v>
      </c>
      <c r="C20" s="5">
        <v>132.06043258414849</v>
      </c>
      <c r="D20" s="5">
        <v>132.86923330883451</v>
      </c>
      <c r="E20" s="5">
        <v>127.2064698192094</v>
      </c>
      <c r="F20" s="5">
        <v>126.2235022802826</v>
      </c>
      <c r="G20" s="5">
        <v>128.4348504608532</v>
      </c>
      <c r="H20" s="5">
        <v>125.7904158825459</v>
      </c>
      <c r="I20" s="5">
        <v>129.60638262380331</v>
      </c>
      <c r="J20" s="5">
        <v>127.81935524201</v>
      </c>
      <c r="L20" s="2">
        <f t="shared" si="1"/>
        <v>0.11113483405601017</v>
      </c>
      <c r="M20" s="2">
        <f t="shared" si="1"/>
        <v>0.22603540485165827</v>
      </c>
      <c r="N20" s="2">
        <f t="shared" si="1"/>
        <v>26.90840996653375</v>
      </c>
      <c r="O20" s="2">
        <f t="shared" si="1"/>
        <v>38.072592460845065</v>
      </c>
      <c r="P20" s="2">
        <f t="shared" si="1"/>
        <v>15.673293330361503</v>
      </c>
      <c r="Q20" s="2">
        <f t="shared" si="1"/>
        <v>43.604701612799587</v>
      </c>
      <c r="R20" s="2">
        <f t="shared" si="1"/>
        <v>7.7697039913775736</v>
      </c>
      <c r="S20" s="2">
        <f t="shared" si="1"/>
        <v>20.925558567238625</v>
      </c>
      <c r="U20" s="2">
        <f t="shared" si="2"/>
        <v>-26.79727513247774</v>
      </c>
      <c r="V20" s="2">
        <f t="shared" si="3"/>
        <v>-37.846557055993408</v>
      </c>
      <c r="W20" s="2">
        <f t="shared" si="4"/>
        <v>-15.562158496305493</v>
      </c>
      <c r="X20" s="2">
        <f t="shared" si="5"/>
        <v>-43.37866620794793</v>
      </c>
      <c r="Y20" s="2">
        <f t="shared" si="6"/>
        <v>-7.6585691573215637</v>
      </c>
      <c r="Z20" s="2">
        <f t="shared" si="7"/>
        <v>-20.699523162386967</v>
      </c>
      <c r="AB20">
        <f>SUM(U$2:U20)</f>
        <v>1666.3166922717764</v>
      </c>
      <c r="AC20">
        <f>SUM(V$2:V20)</f>
        <v>1751.4956210877961</v>
      </c>
      <c r="AD20">
        <f>SUM(W$2:W20)</f>
        <v>1556.8732364594257</v>
      </c>
      <c r="AE20">
        <f>SUM(X$2:X20)</f>
        <v>1733.250364341643</v>
      </c>
      <c r="AF20">
        <f>SUM(Y$2:Y20)</f>
        <v>1051.8004894977489</v>
      </c>
      <c r="AG20">
        <f>SUM(Z$2:Z20)</f>
        <v>1527.4715072257063</v>
      </c>
    </row>
    <row r="21" spans="1:33" x14ac:dyDescent="0.35">
      <c r="A21" s="4">
        <v>44986</v>
      </c>
      <c r="B21" s="5">
        <v>130.6914051</v>
      </c>
      <c r="C21" s="5">
        <v>130.17381480966469</v>
      </c>
      <c r="D21" s="5">
        <v>131.62779648026651</v>
      </c>
      <c r="E21" s="5">
        <v>127.1047454550705</v>
      </c>
      <c r="F21" s="5">
        <v>130.397338883798</v>
      </c>
      <c r="G21" s="5">
        <v>124.7878745811782</v>
      </c>
      <c r="H21" s="5">
        <v>126.7330939996547</v>
      </c>
      <c r="I21" s="5">
        <v>131.51770771346671</v>
      </c>
      <c r="J21" s="5">
        <v>130.14794939321669</v>
      </c>
      <c r="L21" s="2">
        <f t="shared" si="1"/>
        <v>0.26789970864938661</v>
      </c>
      <c r="M21" s="2">
        <f t="shared" si="1"/>
        <v>0.87682881703742688</v>
      </c>
      <c r="N21" s="2">
        <f t="shared" si="1"/>
        <v>12.864127408565789</v>
      </c>
      <c r="O21" s="2">
        <f t="shared" si="1"/>
        <v>8.6474939511359983E-2</v>
      </c>
      <c r="P21" s="2">
        <f t="shared" si="1"/>
        <v>34.851672586660342</v>
      </c>
      <c r="Q21" s="2">
        <f t="shared" si="1"/>
        <v>15.668226767116808</v>
      </c>
      <c r="R21" s="2">
        <f t="shared" si="1"/>
        <v>0.68277600902191293</v>
      </c>
      <c r="S21" s="2">
        <f t="shared" si="1"/>
        <v>0.2953441052353421</v>
      </c>
      <c r="U21" s="2">
        <f t="shared" si="2"/>
        <v>-12.596227699916403</v>
      </c>
      <c r="V21" s="2">
        <f t="shared" si="3"/>
        <v>0.79035387752606689</v>
      </c>
      <c r="W21" s="2">
        <f t="shared" si="4"/>
        <v>-34.583772878010954</v>
      </c>
      <c r="X21" s="2">
        <f t="shared" si="5"/>
        <v>-14.79139795007938</v>
      </c>
      <c r="Y21" s="2">
        <f t="shared" si="6"/>
        <v>-0.41487630037252632</v>
      </c>
      <c r="Z21" s="2">
        <f t="shared" si="7"/>
        <v>0.58148471180208472</v>
      </c>
      <c r="AB21">
        <f>SUM(U$2:U21)</f>
        <v>1653.72046457186</v>
      </c>
      <c r="AC21">
        <f>SUM(V$2:V21)</f>
        <v>1752.2859749653221</v>
      </c>
      <c r="AD21">
        <f>SUM(W$2:W21)</f>
        <v>1522.2894635814148</v>
      </c>
      <c r="AE21">
        <f>SUM(X$2:X21)</f>
        <v>1718.4589663915638</v>
      </c>
      <c r="AF21">
        <f>SUM(Y$2:Y21)</f>
        <v>1051.3856131973764</v>
      </c>
      <c r="AG21">
        <f>SUM(Z$2:Z21)</f>
        <v>1528.0529919375083</v>
      </c>
    </row>
    <row r="22" spans="1:33" x14ac:dyDescent="0.35">
      <c r="A22" s="4">
        <v>45078</v>
      </c>
      <c r="B22" s="5">
        <v>148.25930070000001</v>
      </c>
      <c r="C22" s="5">
        <v>136.45559413981709</v>
      </c>
      <c r="D22" s="5">
        <v>135.30296615443129</v>
      </c>
      <c r="E22" s="5">
        <v>145.25561248115659</v>
      </c>
      <c r="F22" s="5">
        <v>136.44698889827021</v>
      </c>
      <c r="G22" s="5">
        <v>143.18222974495521</v>
      </c>
      <c r="H22" s="5">
        <v>138.48908863645869</v>
      </c>
      <c r="I22" s="5">
        <v>140.1910387593968</v>
      </c>
      <c r="J22" s="5">
        <v>142.01402175777349</v>
      </c>
      <c r="L22" s="2">
        <f t="shared" si="1"/>
        <v>139.32748855890523</v>
      </c>
      <c r="M22" s="2">
        <f t="shared" si="1"/>
        <v>167.86660485669748</v>
      </c>
      <c r="N22" s="2">
        <f t="shared" si="1"/>
        <v>9.0221429160187689</v>
      </c>
      <c r="O22" s="2">
        <f t="shared" si="1"/>
        <v>139.53071010128525</v>
      </c>
      <c r="P22" s="2">
        <f t="shared" si="1"/>
        <v>25.776649482559549</v>
      </c>
      <c r="Q22" s="2">
        <f t="shared" si="1"/>
        <v>95.45704376656839</v>
      </c>
      <c r="R22" s="2">
        <f t="shared" si="1"/>
        <v>65.096850742186234</v>
      </c>
      <c r="S22" s="2">
        <f t="shared" si="1"/>
        <v>39.003509066218001</v>
      </c>
      <c r="U22" s="2">
        <f t="shared" si="2"/>
        <v>130.30534564288646</v>
      </c>
      <c r="V22" s="2">
        <f t="shared" si="3"/>
        <v>28.335894755412227</v>
      </c>
      <c r="W22" s="2">
        <f t="shared" si="4"/>
        <v>113.55083907634568</v>
      </c>
      <c r="X22" s="2">
        <f t="shared" si="5"/>
        <v>72.409561090129088</v>
      </c>
      <c r="Y22" s="2">
        <f t="shared" si="6"/>
        <v>74.230637816718996</v>
      </c>
      <c r="Z22" s="2">
        <f t="shared" si="7"/>
        <v>128.86309579047946</v>
      </c>
      <c r="AB22">
        <f>SUM(U$2:U22)</f>
        <v>1784.0258102147466</v>
      </c>
      <c r="AC22">
        <f>SUM(V$2:V22)</f>
        <v>1780.6218697207344</v>
      </c>
      <c r="AD22">
        <f>SUM(W$2:W22)</f>
        <v>1635.8403026577605</v>
      </c>
      <c r="AE22">
        <f>SUM(X$2:X22)</f>
        <v>1790.8685274816928</v>
      </c>
      <c r="AF22">
        <f>SUM(Y$2:Y22)</f>
        <v>1125.6162510140955</v>
      </c>
      <c r="AG22">
        <f>SUM(Z$2:Z22)</f>
        <v>1656.9160877279878</v>
      </c>
    </row>
    <row r="23" spans="1:33" x14ac:dyDescent="0.35">
      <c r="A23" s="4">
        <v>45170</v>
      </c>
      <c r="B23" s="5">
        <v>128.77371460000001</v>
      </c>
      <c r="C23" s="5">
        <v>135.131797615544</v>
      </c>
      <c r="D23" s="5">
        <v>128.05847097344909</v>
      </c>
      <c r="E23" s="5">
        <v>128.53984073873741</v>
      </c>
      <c r="F23" s="5">
        <v>123.306595580474</v>
      </c>
      <c r="G23" s="5">
        <v>129.02934211573651</v>
      </c>
      <c r="H23" s="5">
        <v>123.3869470484877</v>
      </c>
      <c r="I23" s="5">
        <v>131.00591707211339</v>
      </c>
      <c r="J23" s="5">
        <v>128.66774373069009</v>
      </c>
      <c r="L23" s="2">
        <f t="shared" si="1"/>
        <v>40.425219632549044</v>
      </c>
      <c r="M23" s="2">
        <f t="shared" si="1"/>
        <v>0.51157344532170512</v>
      </c>
      <c r="N23" s="2">
        <f t="shared" si="1"/>
        <v>5.4696982981875336E-2</v>
      </c>
      <c r="O23" s="2">
        <f t="shared" si="1"/>
        <v>29.889390373663037</v>
      </c>
      <c r="P23" s="2">
        <f t="shared" si="1"/>
        <v>6.5345426801617854E-2</v>
      </c>
      <c r="Q23" s="2">
        <f t="shared" si="1"/>
        <v>29.017264654025894</v>
      </c>
      <c r="R23" s="2">
        <f t="shared" si="1"/>
        <v>4.9827278765091103</v>
      </c>
      <c r="S23" s="2">
        <f t="shared" si="1"/>
        <v>1.1229825142298863E-2</v>
      </c>
      <c r="U23" s="2">
        <f t="shared" si="2"/>
        <v>40.370522649567171</v>
      </c>
      <c r="V23" s="2">
        <f t="shared" si="3"/>
        <v>-29.377816928341332</v>
      </c>
      <c r="W23" s="2">
        <f t="shared" si="4"/>
        <v>40.359874205747424</v>
      </c>
      <c r="X23" s="2">
        <f t="shared" si="5"/>
        <v>-28.505691208704189</v>
      </c>
      <c r="Y23" s="2">
        <f t="shared" si="6"/>
        <v>35.442491756039935</v>
      </c>
      <c r="Z23" s="2">
        <f t="shared" si="7"/>
        <v>0.50034362017940626</v>
      </c>
      <c r="AB23">
        <f>SUM(U$2:U23)</f>
        <v>1824.3963328643138</v>
      </c>
      <c r="AC23">
        <f>SUM(V$2:V23)</f>
        <v>1751.2440527923929</v>
      </c>
      <c r="AD23">
        <f>SUM(W$2:W23)</f>
        <v>1676.200176863508</v>
      </c>
      <c r="AE23">
        <f>SUM(X$2:X23)</f>
        <v>1762.3628362729887</v>
      </c>
      <c r="AF23">
        <f>SUM(Y$2:Y23)</f>
        <v>1161.0587427701355</v>
      </c>
      <c r="AG23">
        <f>SUM(Z$2:Z23)</f>
        <v>1657.4164313481672</v>
      </c>
    </row>
    <row r="24" spans="1:33" x14ac:dyDescent="0.35">
      <c r="A24" s="4">
        <v>45261</v>
      </c>
      <c r="B24" s="5">
        <v>131.44522889999999</v>
      </c>
      <c r="C24" s="5">
        <v>133.9356864540662</v>
      </c>
      <c r="D24" s="5">
        <v>131.0236655009129</v>
      </c>
      <c r="E24" s="5">
        <v>134.3291601827664</v>
      </c>
      <c r="F24" s="5">
        <v>128.7383427531818</v>
      </c>
      <c r="G24" s="5">
        <v>134.6578539947601</v>
      </c>
      <c r="H24" s="5">
        <v>133.51650295171461</v>
      </c>
      <c r="I24" s="5">
        <v>130.5185779682767</v>
      </c>
      <c r="J24" s="5">
        <v>129.05896810647329</v>
      </c>
      <c r="L24" s="2">
        <f t="shared" si="1"/>
        <v>6.2023788286054531</v>
      </c>
      <c r="M24" s="2">
        <f t="shared" si="1"/>
        <v>0.17771569944986221</v>
      </c>
      <c r="N24" s="2">
        <f t="shared" si="1"/>
        <v>8.3170596437187214</v>
      </c>
      <c r="O24" s="2">
        <f t="shared" si="1"/>
        <v>7.3272326118362399</v>
      </c>
      <c r="P24" s="2">
        <f t="shared" si="1"/>
        <v>10.320959999482429</v>
      </c>
      <c r="Q24" s="2">
        <f t="shared" si="1"/>
        <v>4.2901761973063168</v>
      </c>
      <c r="R24" s="2">
        <f t="shared" si="1"/>
        <v>0.85868194926363661</v>
      </c>
      <c r="S24" s="2">
        <f t="shared" si="1"/>
        <v>5.6942405747226861</v>
      </c>
      <c r="U24" s="2">
        <f t="shared" si="2"/>
        <v>-2.1146808151132683</v>
      </c>
      <c r="V24" s="2">
        <f t="shared" si="3"/>
        <v>-7.1495169123863773</v>
      </c>
      <c r="W24" s="2">
        <f t="shared" si="4"/>
        <v>-4.1185811708769764</v>
      </c>
      <c r="X24" s="2">
        <f t="shared" si="5"/>
        <v>-4.1124604978564543</v>
      </c>
      <c r="Y24" s="2">
        <f t="shared" si="6"/>
        <v>5.3436968793418167</v>
      </c>
      <c r="Z24" s="2">
        <f t="shared" si="7"/>
        <v>-5.5165248752728235</v>
      </c>
      <c r="AB24">
        <f>SUM(U$2:U24)</f>
        <v>1822.2816520492006</v>
      </c>
      <c r="AC24">
        <f>SUM(V$2:V24)</f>
        <v>1744.0945358800066</v>
      </c>
      <c r="AD24">
        <f>SUM(W$2:W24)</f>
        <v>1672.081595692631</v>
      </c>
      <c r="AE24">
        <f>SUM(X$2:X24)</f>
        <v>1758.2503757751322</v>
      </c>
      <c r="AF24">
        <f>SUM(Y$2:Y24)</f>
        <v>1166.4024396494774</v>
      </c>
      <c r="AG24">
        <f>SUM(Z$2:Z24)</f>
        <v>1651.8999064728944</v>
      </c>
    </row>
    <row r="25" spans="1:33" x14ac:dyDescent="0.35">
      <c r="A25" s="4">
        <v>45352</v>
      </c>
      <c r="B25" s="5">
        <v>139.2724848</v>
      </c>
      <c r="C25" s="5">
        <v>130.48056334813089</v>
      </c>
      <c r="D25" s="5">
        <v>129.5322682719611</v>
      </c>
      <c r="E25" s="5">
        <v>131.7967931938116</v>
      </c>
      <c r="F25" s="5">
        <v>128.5503408880956</v>
      </c>
      <c r="G25" s="5">
        <v>130.81288234049001</v>
      </c>
      <c r="H25" s="5">
        <v>129.76659723014359</v>
      </c>
      <c r="I25" s="5">
        <v>132.1400342958367</v>
      </c>
      <c r="J25" s="5">
        <v>130.50010262762669</v>
      </c>
      <c r="L25" s="2">
        <f t="shared" si="1"/>
        <v>77.297882815836331</v>
      </c>
      <c r="M25" s="2">
        <f t="shared" si="1"/>
        <v>94.871818013082162</v>
      </c>
      <c r="N25" s="2">
        <f t="shared" si="1"/>
        <v>55.885964990835781</v>
      </c>
      <c r="O25" s="2">
        <f t="shared" si="1"/>
        <v>114.96437006758852</v>
      </c>
      <c r="P25" s="2">
        <f t="shared" si="1"/>
        <v>71.56487377294755</v>
      </c>
      <c r="Q25" s="2">
        <f t="shared" si="1"/>
        <v>90.361898490750647</v>
      </c>
      <c r="R25" s="2">
        <f t="shared" si="1"/>
        <v>50.871850194339338</v>
      </c>
      <c r="S25" s="2">
        <f t="shared" si="1"/>
        <v>76.95468897817311</v>
      </c>
      <c r="U25" s="2">
        <f t="shared" si="2"/>
        <v>21.41191782500055</v>
      </c>
      <c r="V25" s="2">
        <f t="shared" si="3"/>
        <v>-20.092552054506356</v>
      </c>
      <c r="W25" s="2">
        <f t="shared" si="4"/>
        <v>5.7330090428887814</v>
      </c>
      <c r="X25" s="2">
        <f t="shared" si="5"/>
        <v>4.5099195223315149</v>
      </c>
      <c r="Y25" s="2">
        <f t="shared" si="6"/>
        <v>26.426032621496994</v>
      </c>
      <c r="Z25" s="2">
        <f t="shared" si="7"/>
        <v>17.917129034909053</v>
      </c>
      <c r="AB25">
        <f>SUM(U$2:U25)</f>
        <v>1843.6935698742011</v>
      </c>
      <c r="AC25">
        <f>SUM(V$2:V25)</f>
        <v>1724.0019838255002</v>
      </c>
      <c r="AD25">
        <f>SUM(W$2:W25)</f>
        <v>1677.8146047355199</v>
      </c>
      <c r="AE25">
        <f>SUM(X$2:X25)</f>
        <v>1762.7602952974637</v>
      </c>
      <c r="AF25">
        <f>SUM(Y$2:Y25)</f>
        <v>1192.8284722709743</v>
      </c>
      <c r="AG25">
        <f>SUM(Z$2:Z25)</f>
        <v>1669.8170355078034</v>
      </c>
    </row>
    <row r="26" spans="1:33" x14ac:dyDescent="0.35">
      <c r="A26" s="4">
        <v>45444</v>
      </c>
      <c r="B26" s="5">
        <v>155.39509409999999</v>
      </c>
      <c r="C26" s="5">
        <v>146.0123668277075</v>
      </c>
      <c r="D26" s="5">
        <v>135.68479044809371</v>
      </c>
      <c r="E26" s="5">
        <v>146.74503234826329</v>
      </c>
      <c r="F26" s="5">
        <v>138.78309774403311</v>
      </c>
      <c r="G26" s="5">
        <v>145.14219045742271</v>
      </c>
      <c r="H26" s="5">
        <v>137.92613029451979</v>
      </c>
      <c r="I26" s="5">
        <v>142.55894746240011</v>
      </c>
      <c r="J26" s="5">
        <v>143.47553466461011</v>
      </c>
      <c r="L26" s="2">
        <f t="shared" si="1"/>
        <v>88.035571066221436</v>
      </c>
      <c r="M26" s="2">
        <f t="shared" si="1"/>
        <v>388.49607005035028</v>
      </c>
      <c r="N26" s="2">
        <f t="shared" si="1"/>
        <v>74.823568308858199</v>
      </c>
      <c r="O26" s="2">
        <f t="shared" si="1"/>
        <v>275.95842293065692</v>
      </c>
      <c r="P26" s="2">
        <f t="shared" si="1"/>
        <v>105.12203310397446</v>
      </c>
      <c r="Q26" s="2">
        <f t="shared" si="1"/>
        <v>305.16469643717727</v>
      </c>
      <c r="R26" s="2">
        <f t="shared" si="1"/>
        <v>164.76666050196675</v>
      </c>
      <c r="S26" s="2">
        <f t="shared" si="1"/>
        <v>142.07589713379204</v>
      </c>
      <c r="U26" s="2">
        <f t="shared" si="2"/>
        <v>13.212002757363237</v>
      </c>
      <c r="V26" s="2">
        <f t="shared" si="3"/>
        <v>112.53764711969336</v>
      </c>
      <c r="W26" s="2">
        <f t="shared" si="4"/>
        <v>-17.086462037753023</v>
      </c>
      <c r="X26" s="2">
        <f t="shared" si="5"/>
        <v>83.331373613173014</v>
      </c>
      <c r="Y26" s="2">
        <f t="shared" si="6"/>
        <v>-76.731089435745318</v>
      </c>
      <c r="Z26" s="2">
        <f t="shared" si="7"/>
        <v>246.42017291655824</v>
      </c>
      <c r="AB26">
        <f>SUM(U$2:U26)</f>
        <v>1856.9055726315644</v>
      </c>
      <c r="AC26">
        <f>SUM(V$2:V26)</f>
        <v>1836.5396309451935</v>
      </c>
      <c r="AD26">
        <f>SUM(W$2:W26)</f>
        <v>1660.7281426977668</v>
      </c>
      <c r="AE26">
        <f>SUM(X$2:X26)</f>
        <v>1846.0916689106366</v>
      </c>
      <c r="AF26">
        <f>SUM(Y$2:Y26)</f>
        <v>1116.0973828352289</v>
      </c>
      <c r="AG26">
        <f>SUM(Z$2:Z26)</f>
        <v>1916.2372084243616</v>
      </c>
    </row>
    <row r="27" spans="1:33" x14ac:dyDescent="0.35">
      <c r="A27" s="4">
        <v>45536</v>
      </c>
      <c r="B27" s="5">
        <v>133.76652319999999</v>
      </c>
      <c r="C27" s="5">
        <v>136.05471314584011</v>
      </c>
      <c r="D27" s="5">
        <v>126.48017554782101</v>
      </c>
      <c r="E27" s="5">
        <v>134.8789498953557</v>
      </c>
      <c r="F27" s="5">
        <v>128.9251798325318</v>
      </c>
      <c r="G27" s="5">
        <v>133.05766576585239</v>
      </c>
      <c r="H27" s="5">
        <v>128.55512013035391</v>
      </c>
      <c r="I27" s="5">
        <v>133.0098171294901</v>
      </c>
      <c r="J27" s="5">
        <v>128.50586977085999</v>
      </c>
      <c r="L27" s="2">
        <f t="shared" si="1"/>
        <v>5.2358132282437948</v>
      </c>
      <c r="M27" s="2">
        <f t="shared" si="1"/>
        <v>53.090862108414271</v>
      </c>
      <c r="N27" s="2">
        <f t="shared" si="1"/>
        <v>1.2374931525400217</v>
      </c>
      <c r="O27" s="2">
        <f t="shared" si="1"/>
        <v>23.438605601728312</v>
      </c>
      <c r="P27" s="2">
        <f t="shared" si="1"/>
        <v>0.50247886194632374</v>
      </c>
      <c r="Q27" s="2">
        <f t="shared" si="1"/>
        <v>27.158721954316601</v>
      </c>
      <c r="R27" s="2">
        <f t="shared" si="1"/>
        <v>0.57260407714652239</v>
      </c>
      <c r="S27" s="2">
        <f t="shared" si="1"/>
        <v>27.674474501522511</v>
      </c>
      <c r="U27" s="2">
        <f t="shared" si="2"/>
        <v>3.9983200757037731</v>
      </c>
      <c r="V27" s="2">
        <f t="shared" si="3"/>
        <v>29.652256506685958</v>
      </c>
      <c r="W27" s="2">
        <f t="shared" si="4"/>
        <v>4.7333343662974707</v>
      </c>
      <c r="X27" s="2">
        <f t="shared" si="5"/>
        <v>25.93214015409767</v>
      </c>
      <c r="Y27" s="2">
        <f t="shared" si="6"/>
        <v>4.6632091510972726</v>
      </c>
      <c r="Z27" s="2">
        <f t="shared" si="7"/>
        <v>25.41638760689176</v>
      </c>
      <c r="AB27">
        <f>SUM(U$2:U27)</f>
        <v>1860.9038927072681</v>
      </c>
      <c r="AC27">
        <f>SUM(V$2:V27)</f>
        <v>1866.1918874518794</v>
      </c>
      <c r="AD27">
        <f>SUM(W$2:W27)</f>
        <v>1665.4614770640642</v>
      </c>
      <c r="AE27">
        <f>SUM(X$2:X27)</f>
        <v>1872.0238090647342</v>
      </c>
      <c r="AF27">
        <f>SUM(Y$2:Y27)</f>
        <v>1120.7605919863263</v>
      </c>
      <c r="AG27">
        <f>SUM(Z$2:Z27)</f>
        <v>1941.6535960312533</v>
      </c>
    </row>
    <row r="28" spans="1:33" x14ac:dyDescent="0.35">
      <c r="A28" s="4">
        <v>45627</v>
      </c>
      <c r="B28" s="5">
        <v>137.14416729999999</v>
      </c>
      <c r="C28" s="5">
        <v>140.74719665757249</v>
      </c>
      <c r="D28" s="5">
        <v>131.11919134911059</v>
      </c>
      <c r="E28" s="5">
        <v>136.31316551665461</v>
      </c>
      <c r="F28" s="5">
        <v>128.99963023319319</v>
      </c>
      <c r="G28" s="5">
        <v>136.29211005412279</v>
      </c>
      <c r="H28" s="5">
        <v>129.40568006204089</v>
      </c>
      <c r="I28" s="5">
        <v>132.78163276690341</v>
      </c>
      <c r="J28" s="5">
        <v>128.5553406598066</v>
      </c>
      <c r="L28" s="2">
        <f t="shared" si="1"/>
        <v>12.981820551529269</v>
      </c>
      <c r="M28" s="2">
        <f t="shared" si="1"/>
        <v>36.300335208795616</v>
      </c>
      <c r="N28" s="2">
        <f t="shared" si="1"/>
        <v>0.69056396392321107</v>
      </c>
      <c r="O28" s="2">
        <f t="shared" si="1"/>
        <v>66.333484032589993</v>
      </c>
      <c r="P28" s="2">
        <f t="shared" si="1"/>
        <v>0.72600155025184798</v>
      </c>
      <c r="Q28" s="2">
        <f t="shared" si="1"/>
        <v>59.884184732055949</v>
      </c>
      <c r="R28" s="2">
        <f t="shared" si="1"/>
        <v>19.031707552460183</v>
      </c>
      <c r="S28" s="2">
        <f t="shared" si="1"/>
        <v>73.76794305529566</v>
      </c>
      <c r="U28" s="2">
        <f t="shared" si="2"/>
        <v>12.291256587606059</v>
      </c>
      <c r="V28" s="2">
        <f t="shared" si="3"/>
        <v>-30.033148823794377</v>
      </c>
      <c r="W28" s="2">
        <f t="shared" si="4"/>
        <v>12.255819001277422</v>
      </c>
      <c r="X28" s="2">
        <f t="shared" si="5"/>
        <v>-23.583849523260334</v>
      </c>
      <c r="Y28" s="2">
        <f t="shared" si="6"/>
        <v>-6.049887000930914</v>
      </c>
      <c r="Z28" s="2">
        <f t="shared" si="7"/>
        <v>-37.467607846500044</v>
      </c>
      <c r="AB28">
        <f>SUM(U$2:U28)</f>
        <v>1873.1951492948742</v>
      </c>
      <c r="AC28">
        <f>SUM(V$2:V28)</f>
        <v>1836.1587386280851</v>
      </c>
      <c r="AD28">
        <f>SUM(W$2:W28)</f>
        <v>1677.7172960653415</v>
      </c>
      <c r="AE28">
        <f>SUM(X$2:X28)</f>
        <v>1848.4399595414739</v>
      </c>
      <c r="AF28">
        <f>SUM(Y$2:Y28)</f>
        <v>1114.7107049853953</v>
      </c>
      <c r="AG28">
        <f>SUM(Z$2:Z28)</f>
        <v>1904.1859881847533</v>
      </c>
    </row>
    <row r="29" spans="1:33" x14ac:dyDescent="0.35">
      <c r="A29" s="4">
        <v>45717</v>
      </c>
      <c r="B29" s="5">
        <v>141.79130939999999</v>
      </c>
      <c r="C29" s="5">
        <v>126.978955264013</v>
      </c>
      <c r="D29" s="5">
        <v>134.15259120050641</v>
      </c>
      <c r="E29" s="5">
        <v>137.3859973407844</v>
      </c>
      <c r="F29" s="5">
        <v>131.5098843038646</v>
      </c>
      <c r="G29" s="5">
        <v>137.64454786311759</v>
      </c>
      <c r="H29" s="5">
        <v>131.20238914293151</v>
      </c>
      <c r="I29" s="5">
        <v>137.03676385904339</v>
      </c>
      <c r="J29" s="5">
        <v>131.08977825227331</v>
      </c>
      <c r="L29" s="2">
        <f t="shared" si="1"/>
        <v>219.40583504989098</v>
      </c>
      <c r="M29" s="2">
        <f t="shared" si="1"/>
        <v>58.350015731274468</v>
      </c>
      <c r="N29" s="2">
        <f t="shared" si="1"/>
        <v>19.406774339070296</v>
      </c>
      <c r="O29" s="2">
        <f t="shared" si="1"/>
        <v>105.70770200744269</v>
      </c>
      <c r="P29" s="2">
        <f t="shared" si="1"/>
        <v>17.195631243767235</v>
      </c>
      <c r="Q29" s="2">
        <f t="shared" si="1"/>
        <v>112.12523221055521</v>
      </c>
      <c r="R29" s="2">
        <f t="shared" si="1"/>
        <v>22.605703301030278</v>
      </c>
      <c r="S29" s="2">
        <f t="shared" si="1"/>
        <v>114.52276890576438</v>
      </c>
      <c r="U29" s="2">
        <f t="shared" si="2"/>
        <v>199.99906071082069</v>
      </c>
      <c r="V29" s="2">
        <f t="shared" si="3"/>
        <v>-47.357686276168224</v>
      </c>
      <c r="W29" s="2">
        <f t="shared" si="4"/>
        <v>202.21020380612376</v>
      </c>
      <c r="X29" s="2">
        <f t="shared" si="5"/>
        <v>-53.775216479280743</v>
      </c>
      <c r="Y29" s="2">
        <f t="shared" si="6"/>
        <v>196.80013174886071</v>
      </c>
      <c r="Z29" s="2">
        <f t="shared" si="7"/>
        <v>-56.172753174489912</v>
      </c>
      <c r="AB29">
        <f>SUM(U$2:U29)</f>
        <v>2073.1942100056949</v>
      </c>
      <c r="AC29">
        <f>SUM(V$2:V29)</f>
        <v>1788.801052351917</v>
      </c>
      <c r="AD29">
        <f>SUM(W$2:W29)</f>
        <v>1879.9274998714652</v>
      </c>
      <c r="AE29">
        <f>SUM(X$2:X29)</f>
        <v>1794.6647430621931</v>
      </c>
      <c r="AF29">
        <f>SUM(Y$2:Y29)</f>
        <v>1311.5108367342559</v>
      </c>
      <c r="AG29">
        <f>SUM(Z$2:Z29)</f>
        <v>1848.0132350102635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Eduarda Sayago</cp:lastModifiedBy>
  <dcterms:created xsi:type="dcterms:W3CDTF">2025-10-29T22:30:59Z</dcterms:created>
  <dcterms:modified xsi:type="dcterms:W3CDTF">2025-11-02T18:00:42Z</dcterms:modified>
</cp:coreProperties>
</file>