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5e0ae908eb1af8/Documentos/GitHub/gdp-forecasting-with-ML/"/>
    </mc:Choice>
  </mc:AlternateContent>
  <xr:revisionPtr revIDLastSave="66" documentId="11_76C0FDC68F79A8536E3CA493EA7BD2728A4584BC" xr6:coauthVersionLast="47" xr6:coauthVersionMax="47" xr10:uidLastSave="{7E3128BB-F2BB-4A76-9518-27A420E0FC9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4" i="1" l="1"/>
  <c r="AC3" i="1"/>
  <c r="AD3" i="1"/>
  <c r="AE3" i="1"/>
  <c r="AF3" i="1"/>
  <c r="AG3" i="1"/>
  <c r="AC4" i="1"/>
  <c r="AD4" i="1"/>
  <c r="AE4" i="1"/>
  <c r="AF4" i="1"/>
  <c r="AG4" i="1"/>
  <c r="AC5" i="1"/>
  <c r="AD5" i="1"/>
  <c r="AE5" i="1"/>
  <c r="AF5" i="1"/>
  <c r="AG5" i="1"/>
  <c r="AC6" i="1"/>
  <c r="AD6" i="1"/>
  <c r="AE6" i="1"/>
  <c r="AF6" i="1"/>
  <c r="AG6" i="1"/>
  <c r="AC7" i="1"/>
  <c r="AD7" i="1"/>
  <c r="AE7" i="1"/>
  <c r="AF7" i="1"/>
  <c r="AG7" i="1"/>
  <c r="AC8" i="1"/>
  <c r="AD8" i="1"/>
  <c r="AE8" i="1"/>
  <c r="AF8" i="1"/>
  <c r="AG8" i="1"/>
  <c r="AC9" i="1"/>
  <c r="AD9" i="1"/>
  <c r="AE9" i="1"/>
  <c r="AF9" i="1"/>
  <c r="AG9" i="1"/>
  <c r="AC10" i="1"/>
  <c r="AD10" i="1"/>
  <c r="AE10" i="1"/>
  <c r="AF10" i="1"/>
  <c r="AG10" i="1"/>
  <c r="AC11" i="1"/>
  <c r="AD11" i="1"/>
  <c r="AE11" i="1"/>
  <c r="AF11" i="1"/>
  <c r="AG11" i="1"/>
  <c r="AC12" i="1"/>
  <c r="AD12" i="1"/>
  <c r="AE12" i="1"/>
  <c r="AF12" i="1"/>
  <c r="AG12" i="1"/>
  <c r="AC13" i="1"/>
  <c r="AD13" i="1"/>
  <c r="AE13" i="1"/>
  <c r="AF13" i="1"/>
  <c r="AG13" i="1"/>
  <c r="AC14" i="1"/>
  <c r="AD14" i="1"/>
  <c r="AE14" i="1"/>
  <c r="AF14" i="1"/>
  <c r="AG14" i="1"/>
  <c r="AC15" i="1"/>
  <c r="AD15" i="1"/>
  <c r="AE15" i="1"/>
  <c r="AF15" i="1"/>
  <c r="AG15" i="1"/>
  <c r="AC16" i="1"/>
  <c r="AD16" i="1"/>
  <c r="AE16" i="1"/>
  <c r="AF16" i="1"/>
  <c r="AG16" i="1"/>
  <c r="AC17" i="1"/>
  <c r="AD17" i="1"/>
  <c r="AE17" i="1"/>
  <c r="AF17" i="1"/>
  <c r="AG17" i="1"/>
  <c r="AC18" i="1"/>
  <c r="AD18" i="1"/>
  <c r="AE18" i="1"/>
  <c r="AF18" i="1"/>
  <c r="AG18" i="1"/>
  <c r="AC19" i="1"/>
  <c r="AD19" i="1"/>
  <c r="AE19" i="1"/>
  <c r="AF19" i="1"/>
  <c r="AG19" i="1"/>
  <c r="AC20" i="1"/>
  <c r="AD20" i="1"/>
  <c r="AE20" i="1"/>
  <c r="AF20" i="1"/>
  <c r="AG20" i="1"/>
  <c r="AC21" i="1"/>
  <c r="AD21" i="1"/>
  <c r="AE21" i="1"/>
  <c r="AF21" i="1"/>
  <c r="AG21" i="1"/>
  <c r="AC22" i="1"/>
  <c r="AD22" i="1"/>
  <c r="AE22" i="1"/>
  <c r="AF22" i="1"/>
  <c r="AG22" i="1"/>
  <c r="AC23" i="1"/>
  <c r="AD23" i="1"/>
  <c r="AE23" i="1"/>
  <c r="AF23" i="1"/>
  <c r="AG23" i="1"/>
  <c r="AC24" i="1"/>
  <c r="AD24" i="1"/>
  <c r="AE24" i="1"/>
  <c r="AF24" i="1"/>
  <c r="AG24" i="1"/>
  <c r="AC25" i="1"/>
  <c r="AD25" i="1"/>
  <c r="AE25" i="1"/>
  <c r="AF25" i="1"/>
  <c r="AG25" i="1"/>
  <c r="AC26" i="1"/>
  <c r="AD26" i="1"/>
  <c r="AE26" i="1"/>
  <c r="AF26" i="1"/>
  <c r="AG26" i="1"/>
  <c r="AC27" i="1"/>
  <c r="AD27" i="1"/>
  <c r="AE27" i="1"/>
  <c r="AF27" i="1"/>
  <c r="AG27" i="1"/>
  <c r="AC28" i="1"/>
  <c r="AD28" i="1"/>
  <c r="AE28" i="1"/>
  <c r="AF28" i="1"/>
  <c r="AG28" i="1"/>
  <c r="AC29" i="1"/>
  <c r="AD29" i="1"/>
  <c r="AE29" i="1"/>
  <c r="AF29" i="1"/>
  <c r="AG29" i="1"/>
  <c r="AC30" i="1"/>
  <c r="AD30" i="1"/>
  <c r="AE30" i="1"/>
  <c r="AF30" i="1"/>
  <c r="AG30" i="1"/>
  <c r="AC31" i="1"/>
  <c r="AD31" i="1"/>
  <c r="AE31" i="1"/>
  <c r="AF31" i="1"/>
  <c r="AG31" i="1"/>
  <c r="AC32" i="1"/>
  <c r="AD32" i="1"/>
  <c r="AE32" i="1"/>
  <c r="AF32" i="1"/>
  <c r="AG32" i="1"/>
  <c r="AC33" i="1"/>
  <c r="AD33" i="1"/>
  <c r="AE33" i="1"/>
  <c r="AF33" i="1"/>
  <c r="AG33" i="1"/>
  <c r="AC34" i="1"/>
  <c r="AD34" i="1"/>
  <c r="AE34" i="1"/>
  <c r="AF34" i="1"/>
  <c r="AG34" i="1"/>
  <c r="AC35" i="1"/>
  <c r="AD35" i="1"/>
  <c r="AE35" i="1"/>
  <c r="AF35" i="1"/>
  <c r="AG35" i="1"/>
  <c r="AC36" i="1"/>
  <c r="AD36" i="1"/>
  <c r="AE36" i="1"/>
  <c r="AF36" i="1"/>
  <c r="AG36" i="1"/>
  <c r="AC37" i="1"/>
  <c r="AD37" i="1"/>
  <c r="AE37" i="1"/>
  <c r="AF37" i="1"/>
  <c r="AG37" i="1"/>
  <c r="AC38" i="1"/>
  <c r="AD38" i="1"/>
  <c r="AE38" i="1"/>
  <c r="AF38" i="1"/>
  <c r="AG38" i="1"/>
  <c r="AC39" i="1"/>
  <c r="AD39" i="1"/>
  <c r="AE39" i="1"/>
  <c r="AF39" i="1"/>
  <c r="AG39" i="1"/>
  <c r="AC40" i="1"/>
  <c r="AD40" i="1"/>
  <c r="AE40" i="1"/>
  <c r="AF40" i="1"/>
  <c r="AG40" i="1"/>
  <c r="AC41" i="1"/>
  <c r="AD41" i="1"/>
  <c r="AE41" i="1"/>
  <c r="AF41" i="1"/>
  <c r="AG41" i="1"/>
  <c r="AC42" i="1"/>
  <c r="AD42" i="1"/>
  <c r="AE42" i="1"/>
  <c r="AF42" i="1"/>
  <c r="AG42" i="1"/>
  <c r="AC43" i="1"/>
  <c r="AD43" i="1"/>
  <c r="AE43" i="1"/>
  <c r="AF43" i="1"/>
  <c r="AG43" i="1"/>
  <c r="AC44" i="1"/>
  <c r="AD44" i="1"/>
  <c r="AE44" i="1"/>
  <c r="AF44" i="1"/>
  <c r="AG44" i="1"/>
  <c r="AC45" i="1"/>
  <c r="AD45" i="1"/>
  <c r="AE45" i="1"/>
  <c r="AF45" i="1"/>
  <c r="AG45" i="1"/>
  <c r="AC46" i="1"/>
  <c r="AD46" i="1"/>
  <c r="AE46" i="1"/>
  <c r="AF46" i="1"/>
  <c r="AG46" i="1"/>
  <c r="AC47" i="1"/>
  <c r="AD47" i="1"/>
  <c r="AE47" i="1"/>
  <c r="AF47" i="1"/>
  <c r="AG47" i="1"/>
  <c r="AC48" i="1"/>
  <c r="AD48" i="1"/>
  <c r="AE48" i="1"/>
  <c r="AF48" i="1"/>
  <c r="AG48" i="1"/>
  <c r="AC49" i="1"/>
  <c r="AD49" i="1"/>
  <c r="AE49" i="1"/>
  <c r="AF49" i="1"/>
  <c r="AG49" i="1"/>
  <c r="AC50" i="1"/>
  <c r="AD50" i="1"/>
  <c r="AE50" i="1"/>
  <c r="AF50" i="1"/>
  <c r="AG50" i="1"/>
  <c r="AC51" i="1"/>
  <c r="AD51" i="1"/>
  <c r="AE51" i="1"/>
  <c r="AF51" i="1"/>
  <c r="AG51" i="1"/>
  <c r="AC52" i="1"/>
  <c r="AD52" i="1"/>
  <c r="AE52" i="1"/>
  <c r="AF52" i="1"/>
  <c r="AG52" i="1"/>
  <c r="AC53" i="1"/>
  <c r="AD53" i="1"/>
  <c r="AE53" i="1"/>
  <c r="AF53" i="1"/>
  <c r="AG53" i="1"/>
  <c r="AC54" i="1"/>
  <c r="AD54" i="1"/>
  <c r="AE54" i="1"/>
  <c r="AF54" i="1"/>
  <c r="AG54" i="1"/>
  <c r="AC55" i="1"/>
  <c r="AD55" i="1"/>
  <c r="AE55" i="1"/>
  <c r="AF55" i="1"/>
  <c r="AG55" i="1"/>
  <c r="AC56" i="1"/>
  <c r="AD56" i="1"/>
  <c r="AE56" i="1"/>
  <c r="AF56" i="1"/>
  <c r="AG56" i="1"/>
  <c r="AC57" i="1"/>
  <c r="AD57" i="1"/>
  <c r="AE57" i="1"/>
  <c r="AF57" i="1"/>
  <c r="AG57" i="1"/>
  <c r="AC58" i="1"/>
  <c r="AD58" i="1"/>
  <c r="AE58" i="1"/>
  <c r="AF58" i="1"/>
  <c r="AG58" i="1"/>
  <c r="AC59" i="1"/>
  <c r="AD59" i="1"/>
  <c r="AE59" i="1"/>
  <c r="AF59" i="1"/>
  <c r="AG59" i="1"/>
  <c r="AC60" i="1"/>
  <c r="AD60" i="1"/>
  <c r="AE60" i="1"/>
  <c r="AF60" i="1"/>
  <c r="AG60" i="1"/>
  <c r="AC61" i="1"/>
  <c r="AD61" i="1"/>
  <c r="AE61" i="1"/>
  <c r="AF61" i="1"/>
  <c r="AG61" i="1"/>
  <c r="AC62" i="1"/>
  <c r="AD62" i="1"/>
  <c r="AE62" i="1"/>
  <c r="AF62" i="1"/>
  <c r="AG62" i="1"/>
  <c r="AC63" i="1"/>
  <c r="AD63" i="1"/>
  <c r="AE63" i="1"/>
  <c r="AF63" i="1"/>
  <c r="AG63" i="1"/>
  <c r="AC64" i="1"/>
  <c r="AD64" i="1"/>
  <c r="AE64" i="1"/>
  <c r="AF64" i="1"/>
  <c r="AG64" i="1"/>
  <c r="AC65" i="1"/>
  <c r="AD65" i="1"/>
  <c r="AE65" i="1"/>
  <c r="AF65" i="1"/>
  <c r="AG65" i="1"/>
  <c r="AC66" i="1"/>
  <c r="AD66" i="1"/>
  <c r="AE66" i="1"/>
  <c r="AF66" i="1"/>
  <c r="AG66" i="1"/>
  <c r="AC67" i="1"/>
  <c r="AD67" i="1"/>
  <c r="AE67" i="1"/>
  <c r="AF67" i="1"/>
  <c r="AG67" i="1"/>
  <c r="AC68" i="1"/>
  <c r="AD68" i="1"/>
  <c r="AE68" i="1"/>
  <c r="AF68" i="1"/>
  <c r="AG68" i="1"/>
  <c r="AC69" i="1"/>
  <c r="AD69" i="1"/>
  <c r="AE69" i="1"/>
  <c r="AF69" i="1"/>
  <c r="AG69" i="1"/>
  <c r="AC70" i="1"/>
  <c r="AD70" i="1"/>
  <c r="AE70" i="1"/>
  <c r="AF70" i="1"/>
  <c r="AG70" i="1"/>
  <c r="AC71" i="1"/>
  <c r="AD71" i="1"/>
  <c r="AE71" i="1"/>
  <c r="AF71" i="1"/>
  <c r="AG71" i="1"/>
  <c r="AC72" i="1"/>
  <c r="AD72" i="1"/>
  <c r="AE72" i="1"/>
  <c r="AF72" i="1"/>
  <c r="AG72" i="1"/>
  <c r="AC73" i="1"/>
  <c r="AD73" i="1"/>
  <c r="AE73" i="1"/>
  <c r="AF73" i="1"/>
  <c r="AG73" i="1"/>
  <c r="AC74" i="1"/>
  <c r="AD74" i="1"/>
  <c r="AE74" i="1"/>
  <c r="AF74" i="1"/>
  <c r="AG74" i="1"/>
  <c r="AC75" i="1"/>
  <c r="AD75" i="1"/>
  <c r="AE75" i="1"/>
  <c r="AF75" i="1"/>
  <c r="AG75" i="1"/>
  <c r="AC76" i="1"/>
  <c r="AD76" i="1"/>
  <c r="AE76" i="1"/>
  <c r="AF76" i="1"/>
  <c r="AG76" i="1"/>
  <c r="AC77" i="1"/>
  <c r="AD77" i="1"/>
  <c r="AE77" i="1"/>
  <c r="AF77" i="1"/>
  <c r="AG77" i="1"/>
  <c r="AC78" i="1"/>
  <c r="AD78" i="1"/>
  <c r="AE78" i="1"/>
  <c r="AF78" i="1"/>
  <c r="AG78" i="1"/>
  <c r="AC79" i="1"/>
  <c r="AD79" i="1"/>
  <c r="AE79" i="1"/>
  <c r="AF79" i="1"/>
  <c r="AG79" i="1"/>
  <c r="AC80" i="1"/>
  <c r="AD80" i="1"/>
  <c r="AE80" i="1"/>
  <c r="AF80" i="1"/>
  <c r="AG80" i="1"/>
  <c r="AC81" i="1"/>
  <c r="AD81" i="1"/>
  <c r="AE81" i="1"/>
  <c r="AF81" i="1"/>
  <c r="AG81" i="1"/>
  <c r="AC82" i="1"/>
  <c r="AD82" i="1"/>
  <c r="AE82" i="1"/>
  <c r="AF82" i="1"/>
  <c r="AG82" i="1"/>
  <c r="AC2" i="1"/>
  <c r="AD2" i="1"/>
  <c r="AE2" i="1"/>
  <c r="AF2" i="1"/>
  <c r="AG2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4" i="1"/>
  <c r="AB3" i="1"/>
  <c r="AB2" i="1"/>
  <c r="W3" i="1"/>
  <c r="X3" i="1"/>
  <c r="Y3" i="1"/>
  <c r="Z3" i="1"/>
  <c r="W4" i="1"/>
  <c r="X4" i="1"/>
  <c r="Y4" i="1"/>
  <c r="Z4" i="1"/>
  <c r="W5" i="1"/>
  <c r="X5" i="1"/>
  <c r="Y5" i="1"/>
  <c r="Z5" i="1"/>
  <c r="W6" i="1"/>
  <c r="X6" i="1"/>
  <c r="Y6" i="1"/>
  <c r="Z6" i="1"/>
  <c r="W7" i="1"/>
  <c r="X7" i="1"/>
  <c r="Y7" i="1"/>
  <c r="Z7" i="1"/>
  <c r="W8" i="1"/>
  <c r="X8" i="1"/>
  <c r="Y8" i="1"/>
  <c r="Z8" i="1"/>
  <c r="W9" i="1"/>
  <c r="X9" i="1"/>
  <c r="Y9" i="1"/>
  <c r="Z9" i="1"/>
  <c r="W10" i="1"/>
  <c r="X10" i="1"/>
  <c r="Y10" i="1"/>
  <c r="Z10" i="1"/>
  <c r="W11" i="1"/>
  <c r="X11" i="1"/>
  <c r="Y11" i="1"/>
  <c r="Z11" i="1"/>
  <c r="W12" i="1"/>
  <c r="X12" i="1"/>
  <c r="Y12" i="1"/>
  <c r="Z12" i="1"/>
  <c r="W13" i="1"/>
  <c r="X13" i="1"/>
  <c r="Y13" i="1"/>
  <c r="Z13" i="1"/>
  <c r="W14" i="1"/>
  <c r="X14" i="1"/>
  <c r="Y14" i="1"/>
  <c r="Z14" i="1"/>
  <c r="W15" i="1"/>
  <c r="X15" i="1"/>
  <c r="Y15" i="1"/>
  <c r="Z15" i="1"/>
  <c r="W16" i="1"/>
  <c r="X16" i="1"/>
  <c r="Y16" i="1"/>
  <c r="Z16" i="1"/>
  <c r="W17" i="1"/>
  <c r="X17" i="1"/>
  <c r="Y17" i="1"/>
  <c r="Z17" i="1"/>
  <c r="W18" i="1"/>
  <c r="X18" i="1"/>
  <c r="Y18" i="1"/>
  <c r="Z18" i="1"/>
  <c r="W19" i="1"/>
  <c r="X19" i="1"/>
  <c r="Y19" i="1"/>
  <c r="Z19" i="1"/>
  <c r="W20" i="1"/>
  <c r="X20" i="1"/>
  <c r="Y20" i="1"/>
  <c r="Z20" i="1"/>
  <c r="W21" i="1"/>
  <c r="X21" i="1"/>
  <c r="Y21" i="1"/>
  <c r="Z21" i="1"/>
  <c r="W22" i="1"/>
  <c r="X22" i="1"/>
  <c r="Y22" i="1"/>
  <c r="Z22" i="1"/>
  <c r="W23" i="1"/>
  <c r="X23" i="1"/>
  <c r="Y23" i="1"/>
  <c r="Z23" i="1"/>
  <c r="W24" i="1"/>
  <c r="X24" i="1"/>
  <c r="Y24" i="1"/>
  <c r="Z24" i="1"/>
  <c r="W25" i="1"/>
  <c r="X25" i="1"/>
  <c r="Y25" i="1"/>
  <c r="Z25" i="1"/>
  <c r="W26" i="1"/>
  <c r="X26" i="1"/>
  <c r="Y26" i="1"/>
  <c r="Z26" i="1"/>
  <c r="W27" i="1"/>
  <c r="X27" i="1"/>
  <c r="Y27" i="1"/>
  <c r="Z27" i="1"/>
  <c r="W28" i="1"/>
  <c r="X28" i="1"/>
  <c r="Y28" i="1"/>
  <c r="Z28" i="1"/>
  <c r="W29" i="1"/>
  <c r="X29" i="1"/>
  <c r="Y29" i="1"/>
  <c r="Z29" i="1"/>
  <c r="W30" i="1"/>
  <c r="X30" i="1"/>
  <c r="Y30" i="1"/>
  <c r="Z30" i="1"/>
  <c r="W31" i="1"/>
  <c r="X31" i="1"/>
  <c r="Y31" i="1"/>
  <c r="Z31" i="1"/>
  <c r="W32" i="1"/>
  <c r="X32" i="1"/>
  <c r="Y32" i="1"/>
  <c r="Z32" i="1"/>
  <c r="W33" i="1"/>
  <c r="X33" i="1"/>
  <c r="Y33" i="1"/>
  <c r="Z33" i="1"/>
  <c r="W34" i="1"/>
  <c r="X34" i="1"/>
  <c r="Y34" i="1"/>
  <c r="Z34" i="1"/>
  <c r="W35" i="1"/>
  <c r="X35" i="1"/>
  <c r="Y35" i="1"/>
  <c r="Z35" i="1"/>
  <c r="W36" i="1"/>
  <c r="X36" i="1"/>
  <c r="Y36" i="1"/>
  <c r="Z36" i="1"/>
  <c r="W37" i="1"/>
  <c r="X37" i="1"/>
  <c r="Y37" i="1"/>
  <c r="Z37" i="1"/>
  <c r="W38" i="1"/>
  <c r="X38" i="1"/>
  <c r="Y38" i="1"/>
  <c r="Z38" i="1"/>
  <c r="W39" i="1"/>
  <c r="X39" i="1"/>
  <c r="Y39" i="1"/>
  <c r="Z39" i="1"/>
  <c r="W40" i="1"/>
  <c r="X40" i="1"/>
  <c r="Y40" i="1"/>
  <c r="Z40" i="1"/>
  <c r="W41" i="1"/>
  <c r="X41" i="1"/>
  <c r="Y41" i="1"/>
  <c r="Z41" i="1"/>
  <c r="W42" i="1"/>
  <c r="X42" i="1"/>
  <c r="Y42" i="1"/>
  <c r="Z42" i="1"/>
  <c r="W43" i="1"/>
  <c r="X43" i="1"/>
  <c r="Y43" i="1"/>
  <c r="Z43" i="1"/>
  <c r="W44" i="1"/>
  <c r="X44" i="1"/>
  <c r="Y44" i="1"/>
  <c r="Z44" i="1"/>
  <c r="W45" i="1"/>
  <c r="X45" i="1"/>
  <c r="Y45" i="1"/>
  <c r="Z45" i="1"/>
  <c r="W46" i="1"/>
  <c r="X46" i="1"/>
  <c r="Y46" i="1"/>
  <c r="Z46" i="1"/>
  <c r="W47" i="1"/>
  <c r="X47" i="1"/>
  <c r="Y47" i="1"/>
  <c r="Z47" i="1"/>
  <c r="W48" i="1"/>
  <c r="X48" i="1"/>
  <c r="Y48" i="1"/>
  <c r="Z48" i="1"/>
  <c r="W49" i="1"/>
  <c r="X49" i="1"/>
  <c r="Y49" i="1"/>
  <c r="Z49" i="1"/>
  <c r="W50" i="1"/>
  <c r="X50" i="1"/>
  <c r="Y50" i="1"/>
  <c r="Z50" i="1"/>
  <c r="W51" i="1"/>
  <c r="X51" i="1"/>
  <c r="Y51" i="1"/>
  <c r="Z51" i="1"/>
  <c r="W52" i="1"/>
  <c r="X52" i="1"/>
  <c r="Y52" i="1"/>
  <c r="Z52" i="1"/>
  <c r="W53" i="1"/>
  <c r="X53" i="1"/>
  <c r="Y53" i="1"/>
  <c r="Z53" i="1"/>
  <c r="W54" i="1"/>
  <c r="X54" i="1"/>
  <c r="Y54" i="1"/>
  <c r="Z54" i="1"/>
  <c r="W55" i="1"/>
  <c r="X55" i="1"/>
  <c r="Y55" i="1"/>
  <c r="Z55" i="1"/>
  <c r="W56" i="1"/>
  <c r="X56" i="1"/>
  <c r="Y56" i="1"/>
  <c r="Z56" i="1"/>
  <c r="W57" i="1"/>
  <c r="X57" i="1"/>
  <c r="Y57" i="1"/>
  <c r="Z57" i="1"/>
  <c r="W58" i="1"/>
  <c r="X58" i="1"/>
  <c r="Y58" i="1"/>
  <c r="Z58" i="1"/>
  <c r="W59" i="1"/>
  <c r="X59" i="1"/>
  <c r="Y59" i="1"/>
  <c r="Z59" i="1"/>
  <c r="W60" i="1"/>
  <c r="X60" i="1"/>
  <c r="Y60" i="1"/>
  <c r="Z60" i="1"/>
  <c r="W61" i="1"/>
  <c r="X61" i="1"/>
  <c r="Y61" i="1"/>
  <c r="Z61" i="1"/>
  <c r="W62" i="1"/>
  <c r="X62" i="1"/>
  <c r="Y62" i="1"/>
  <c r="Z62" i="1"/>
  <c r="W63" i="1"/>
  <c r="X63" i="1"/>
  <c r="Y63" i="1"/>
  <c r="Z63" i="1"/>
  <c r="W64" i="1"/>
  <c r="X64" i="1"/>
  <c r="Y64" i="1"/>
  <c r="Z64" i="1"/>
  <c r="W65" i="1"/>
  <c r="X65" i="1"/>
  <c r="Y65" i="1"/>
  <c r="Z65" i="1"/>
  <c r="W66" i="1"/>
  <c r="X66" i="1"/>
  <c r="Y66" i="1"/>
  <c r="Z66" i="1"/>
  <c r="W67" i="1"/>
  <c r="X67" i="1"/>
  <c r="Y67" i="1"/>
  <c r="Z67" i="1"/>
  <c r="W68" i="1"/>
  <c r="X68" i="1"/>
  <c r="Y68" i="1"/>
  <c r="Z68" i="1"/>
  <c r="W69" i="1"/>
  <c r="X69" i="1"/>
  <c r="Y69" i="1"/>
  <c r="Z69" i="1"/>
  <c r="W70" i="1"/>
  <c r="X70" i="1"/>
  <c r="Y70" i="1"/>
  <c r="Z70" i="1"/>
  <c r="W71" i="1"/>
  <c r="X71" i="1"/>
  <c r="Y71" i="1"/>
  <c r="Z71" i="1"/>
  <c r="W72" i="1"/>
  <c r="X72" i="1"/>
  <c r="Y72" i="1"/>
  <c r="Z72" i="1"/>
  <c r="W73" i="1"/>
  <c r="X73" i="1"/>
  <c r="Y73" i="1"/>
  <c r="Z73" i="1"/>
  <c r="W74" i="1"/>
  <c r="X74" i="1"/>
  <c r="Y74" i="1"/>
  <c r="Z74" i="1"/>
  <c r="W75" i="1"/>
  <c r="X75" i="1"/>
  <c r="Y75" i="1"/>
  <c r="Z75" i="1"/>
  <c r="W76" i="1"/>
  <c r="X76" i="1"/>
  <c r="Y76" i="1"/>
  <c r="Z76" i="1"/>
  <c r="W77" i="1"/>
  <c r="X77" i="1"/>
  <c r="Y77" i="1"/>
  <c r="Z77" i="1"/>
  <c r="W78" i="1"/>
  <c r="X78" i="1"/>
  <c r="Y78" i="1"/>
  <c r="Z78" i="1"/>
  <c r="W79" i="1"/>
  <c r="X79" i="1"/>
  <c r="Y79" i="1"/>
  <c r="Z79" i="1"/>
  <c r="W80" i="1"/>
  <c r="X80" i="1"/>
  <c r="Y80" i="1"/>
  <c r="Z80" i="1"/>
  <c r="W81" i="1"/>
  <c r="X81" i="1"/>
  <c r="Y81" i="1"/>
  <c r="Z81" i="1"/>
  <c r="W82" i="1"/>
  <c r="X82" i="1"/>
  <c r="Y82" i="1"/>
  <c r="Z82" i="1"/>
  <c r="Y2" i="1"/>
  <c r="Z2" i="1"/>
  <c r="X2" i="1"/>
  <c r="W2" i="1"/>
  <c r="U3" i="1"/>
  <c r="V3" i="1"/>
  <c r="U4" i="1"/>
  <c r="V4" i="1"/>
  <c r="U5" i="1"/>
  <c r="V5" i="1"/>
  <c r="U6" i="1"/>
  <c r="V6" i="1"/>
  <c r="U7" i="1"/>
  <c r="V7" i="1"/>
  <c r="U8" i="1"/>
  <c r="V8" i="1"/>
  <c r="U9" i="1"/>
  <c r="V9" i="1"/>
  <c r="U10" i="1"/>
  <c r="V10" i="1"/>
  <c r="U11" i="1"/>
  <c r="V11" i="1"/>
  <c r="U12" i="1"/>
  <c r="V12" i="1"/>
  <c r="U13" i="1"/>
  <c r="V13" i="1"/>
  <c r="U14" i="1"/>
  <c r="V14" i="1"/>
  <c r="U15" i="1"/>
  <c r="V15" i="1"/>
  <c r="U16" i="1"/>
  <c r="V16" i="1"/>
  <c r="U17" i="1"/>
  <c r="V17" i="1"/>
  <c r="U18" i="1"/>
  <c r="V18" i="1"/>
  <c r="U19" i="1"/>
  <c r="V19" i="1"/>
  <c r="U20" i="1"/>
  <c r="V20" i="1"/>
  <c r="U21" i="1"/>
  <c r="V21" i="1"/>
  <c r="U22" i="1"/>
  <c r="V22" i="1"/>
  <c r="U23" i="1"/>
  <c r="V23" i="1"/>
  <c r="U24" i="1"/>
  <c r="V24" i="1"/>
  <c r="U25" i="1"/>
  <c r="V25" i="1"/>
  <c r="U26" i="1"/>
  <c r="V26" i="1"/>
  <c r="U27" i="1"/>
  <c r="V27" i="1"/>
  <c r="U28" i="1"/>
  <c r="V28" i="1"/>
  <c r="U29" i="1"/>
  <c r="V29" i="1"/>
  <c r="U30" i="1"/>
  <c r="V30" i="1"/>
  <c r="U31" i="1"/>
  <c r="V31" i="1"/>
  <c r="U32" i="1"/>
  <c r="V32" i="1"/>
  <c r="U33" i="1"/>
  <c r="V33" i="1"/>
  <c r="U34" i="1"/>
  <c r="V34" i="1"/>
  <c r="U35" i="1"/>
  <c r="V35" i="1"/>
  <c r="U36" i="1"/>
  <c r="V36" i="1"/>
  <c r="U37" i="1"/>
  <c r="V37" i="1"/>
  <c r="U38" i="1"/>
  <c r="V38" i="1"/>
  <c r="U39" i="1"/>
  <c r="V39" i="1"/>
  <c r="U40" i="1"/>
  <c r="V40" i="1"/>
  <c r="U41" i="1"/>
  <c r="V41" i="1"/>
  <c r="U42" i="1"/>
  <c r="V42" i="1"/>
  <c r="U43" i="1"/>
  <c r="V43" i="1"/>
  <c r="V44" i="1"/>
  <c r="U45" i="1"/>
  <c r="V45" i="1"/>
  <c r="U46" i="1"/>
  <c r="V46" i="1"/>
  <c r="U47" i="1"/>
  <c r="V47" i="1"/>
  <c r="U48" i="1"/>
  <c r="V48" i="1"/>
  <c r="U49" i="1"/>
  <c r="V49" i="1"/>
  <c r="U50" i="1"/>
  <c r="V50" i="1"/>
  <c r="U51" i="1"/>
  <c r="V51" i="1"/>
  <c r="U52" i="1"/>
  <c r="V52" i="1"/>
  <c r="U53" i="1"/>
  <c r="V53" i="1"/>
  <c r="U54" i="1"/>
  <c r="V54" i="1"/>
  <c r="U55" i="1"/>
  <c r="V55" i="1"/>
  <c r="U56" i="1"/>
  <c r="V56" i="1"/>
  <c r="U57" i="1"/>
  <c r="V57" i="1"/>
  <c r="U58" i="1"/>
  <c r="V58" i="1"/>
  <c r="U59" i="1"/>
  <c r="V59" i="1"/>
  <c r="U60" i="1"/>
  <c r="V60" i="1"/>
  <c r="U61" i="1"/>
  <c r="V61" i="1"/>
  <c r="U62" i="1"/>
  <c r="V62" i="1"/>
  <c r="U63" i="1"/>
  <c r="V63" i="1"/>
  <c r="U64" i="1"/>
  <c r="V64" i="1"/>
  <c r="U65" i="1"/>
  <c r="V65" i="1"/>
  <c r="U66" i="1"/>
  <c r="V66" i="1"/>
  <c r="U67" i="1"/>
  <c r="V67" i="1"/>
  <c r="U68" i="1"/>
  <c r="V68" i="1"/>
  <c r="U69" i="1"/>
  <c r="V69" i="1"/>
  <c r="U70" i="1"/>
  <c r="V70" i="1"/>
  <c r="U71" i="1"/>
  <c r="V71" i="1"/>
  <c r="U72" i="1"/>
  <c r="V72" i="1"/>
  <c r="U73" i="1"/>
  <c r="V73" i="1"/>
  <c r="U74" i="1"/>
  <c r="V74" i="1"/>
  <c r="U75" i="1"/>
  <c r="V75" i="1"/>
  <c r="U76" i="1"/>
  <c r="V76" i="1"/>
  <c r="U77" i="1"/>
  <c r="V77" i="1"/>
  <c r="U78" i="1"/>
  <c r="V78" i="1"/>
  <c r="U79" i="1"/>
  <c r="V79" i="1"/>
  <c r="U80" i="1"/>
  <c r="V80" i="1"/>
  <c r="U81" i="1"/>
  <c r="V81" i="1"/>
  <c r="U82" i="1"/>
  <c r="V82" i="1"/>
  <c r="V2" i="1"/>
  <c r="U2" i="1"/>
  <c r="N2" i="1"/>
  <c r="O2" i="1"/>
  <c r="P2" i="1"/>
  <c r="Q2" i="1"/>
  <c r="R2" i="1"/>
  <c r="S2" i="1"/>
  <c r="N3" i="1"/>
  <c r="O3" i="1"/>
  <c r="P3" i="1"/>
  <c r="Q3" i="1"/>
  <c r="R3" i="1"/>
  <c r="S3" i="1"/>
  <c r="N4" i="1"/>
  <c r="O4" i="1"/>
  <c r="P4" i="1"/>
  <c r="Q4" i="1"/>
  <c r="R4" i="1"/>
  <c r="S4" i="1"/>
  <c r="N5" i="1"/>
  <c r="O5" i="1"/>
  <c r="P5" i="1"/>
  <c r="Q5" i="1"/>
  <c r="R5" i="1"/>
  <c r="S5" i="1"/>
  <c r="N6" i="1"/>
  <c r="O6" i="1"/>
  <c r="P6" i="1"/>
  <c r="Q6" i="1"/>
  <c r="R6" i="1"/>
  <c r="S6" i="1"/>
  <c r="N7" i="1"/>
  <c r="O7" i="1"/>
  <c r="P7" i="1"/>
  <c r="Q7" i="1"/>
  <c r="R7" i="1"/>
  <c r="S7" i="1"/>
  <c r="N8" i="1"/>
  <c r="O8" i="1"/>
  <c r="P8" i="1"/>
  <c r="Q8" i="1"/>
  <c r="R8" i="1"/>
  <c r="S8" i="1"/>
  <c r="N9" i="1"/>
  <c r="O9" i="1"/>
  <c r="P9" i="1"/>
  <c r="Q9" i="1"/>
  <c r="R9" i="1"/>
  <c r="S9" i="1"/>
  <c r="N10" i="1"/>
  <c r="O10" i="1"/>
  <c r="P10" i="1"/>
  <c r="Q10" i="1"/>
  <c r="R10" i="1"/>
  <c r="S10" i="1"/>
  <c r="N11" i="1"/>
  <c r="O11" i="1"/>
  <c r="P11" i="1"/>
  <c r="Q11" i="1"/>
  <c r="R11" i="1"/>
  <c r="S11" i="1"/>
  <c r="N12" i="1"/>
  <c r="O12" i="1"/>
  <c r="P12" i="1"/>
  <c r="Q12" i="1"/>
  <c r="R12" i="1"/>
  <c r="S12" i="1"/>
  <c r="N13" i="1"/>
  <c r="O13" i="1"/>
  <c r="P13" i="1"/>
  <c r="Q13" i="1"/>
  <c r="R13" i="1"/>
  <c r="S13" i="1"/>
  <c r="N14" i="1"/>
  <c r="O14" i="1"/>
  <c r="P14" i="1"/>
  <c r="Q14" i="1"/>
  <c r="R14" i="1"/>
  <c r="S14" i="1"/>
  <c r="N15" i="1"/>
  <c r="O15" i="1"/>
  <c r="P15" i="1"/>
  <c r="Q15" i="1"/>
  <c r="R15" i="1"/>
  <c r="S15" i="1"/>
  <c r="N16" i="1"/>
  <c r="O16" i="1"/>
  <c r="P16" i="1"/>
  <c r="Q16" i="1"/>
  <c r="R16" i="1"/>
  <c r="S16" i="1"/>
  <c r="N17" i="1"/>
  <c r="O17" i="1"/>
  <c r="P17" i="1"/>
  <c r="Q17" i="1"/>
  <c r="R17" i="1"/>
  <c r="S17" i="1"/>
  <c r="N18" i="1"/>
  <c r="O18" i="1"/>
  <c r="P18" i="1"/>
  <c r="Q18" i="1"/>
  <c r="R18" i="1"/>
  <c r="S18" i="1"/>
  <c r="N19" i="1"/>
  <c r="O19" i="1"/>
  <c r="P19" i="1"/>
  <c r="Q19" i="1"/>
  <c r="R19" i="1"/>
  <c r="S19" i="1"/>
  <c r="N20" i="1"/>
  <c r="O20" i="1"/>
  <c r="P20" i="1"/>
  <c r="Q20" i="1"/>
  <c r="R20" i="1"/>
  <c r="S20" i="1"/>
  <c r="N21" i="1"/>
  <c r="O21" i="1"/>
  <c r="P21" i="1"/>
  <c r="Q21" i="1"/>
  <c r="R21" i="1"/>
  <c r="S21" i="1"/>
  <c r="N22" i="1"/>
  <c r="O22" i="1"/>
  <c r="P22" i="1"/>
  <c r="Q22" i="1"/>
  <c r="R22" i="1"/>
  <c r="S22" i="1"/>
  <c r="N23" i="1"/>
  <c r="O23" i="1"/>
  <c r="P23" i="1"/>
  <c r="Q23" i="1"/>
  <c r="R23" i="1"/>
  <c r="S23" i="1"/>
  <c r="N24" i="1"/>
  <c r="O24" i="1"/>
  <c r="P24" i="1"/>
  <c r="Q24" i="1"/>
  <c r="R24" i="1"/>
  <c r="S24" i="1"/>
  <c r="N25" i="1"/>
  <c r="O25" i="1"/>
  <c r="P25" i="1"/>
  <c r="Q25" i="1"/>
  <c r="R25" i="1"/>
  <c r="S25" i="1"/>
  <c r="N26" i="1"/>
  <c r="O26" i="1"/>
  <c r="P26" i="1"/>
  <c r="Q26" i="1"/>
  <c r="R26" i="1"/>
  <c r="S26" i="1"/>
  <c r="N27" i="1"/>
  <c r="O27" i="1"/>
  <c r="P27" i="1"/>
  <c r="Q27" i="1"/>
  <c r="R27" i="1"/>
  <c r="S27" i="1"/>
  <c r="N28" i="1"/>
  <c r="O28" i="1"/>
  <c r="P28" i="1"/>
  <c r="Q28" i="1"/>
  <c r="R28" i="1"/>
  <c r="S28" i="1"/>
  <c r="N29" i="1"/>
  <c r="O29" i="1"/>
  <c r="P29" i="1"/>
  <c r="Q29" i="1"/>
  <c r="R29" i="1"/>
  <c r="S29" i="1"/>
  <c r="N30" i="1"/>
  <c r="O30" i="1"/>
  <c r="P30" i="1"/>
  <c r="Q30" i="1"/>
  <c r="R30" i="1"/>
  <c r="S30" i="1"/>
  <c r="N31" i="1"/>
  <c r="O31" i="1"/>
  <c r="P31" i="1"/>
  <c r="Q31" i="1"/>
  <c r="R31" i="1"/>
  <c r="S31" i="1"/>
  <c r="N32" i="1"/>
  <c r="O32" i="1"/>
  <c r="P32" i="1"/>
  <c r="Q32" i="1"/>
  <c r="R32" i="1"/>
  <c r="S32" i="1"/>
  <c r="N33" i="1"/>
  <c r="O33" i="1"/>
  <c r="P33" i="1"/>
  <c r="Q33" i="1"/>
  <c r="R33" i="1"/>
  <c r="S33" i="1"/>
  <c r="N34" i="1"/>
  <c r="O34" i="1"/>
  <c r="P34" i="1"/>
  <c r="Q34" i="1"/>
  <c r="R34" i="1"/>
  <c r="S34" i="1"/>
  <c r="N35" i="1"/>
  <c r="O35" i="1"/>
  <c r="P35" i="1"/>
  <c r="Q35" i="1"/>
  <c r="R35" i="1"/>
  <c r="S35" i="1"/>
  <c r="N36" i="1"/>
  <c r="O36" i="1"/>
  <c r="P36" i="1"/>
  <c r="Q36" i="1"/>
  <c r="R36" i="1"/>
  <c r="S36" i="1"/>
  <c r="N37" i="1"/>
  <c r="O37" i="1"/>
  <c r="P37" i="1"/>
  <c r="Q37" i="1"/>
  <c r="R37" i="1"/>
  <c r="S37" i="1"/>
  <c r="N38" i="1"/>
  <c r="O38" i="1"/>
  <c r="P38" i="1"/>
  <c r="Q38" i="1"/>
  <c r="R38" i="1"/>
  <c r="S38" i="1"/>
  <c r="N39" i="1"/>
  <c r="O39" i="1"/>
  <c r="P39" i="1"/>
  <c r="Q39" i="1"/>
  <c r="R39" i="1"/>
  <c r="S39" i="1"/>
  <c r="N40" i="1"/>
  <c r="O40" i="1"/>
  <c r="P40" i="1"/>
  <c r="Q40" i="1"/>
  <c r="R40" i="1"/>
  <c r="S40" i="1"/>
  <c r="N41" i="1"/>
  <c r="O41" i="1"/>
  <c r="P41" i="1"/>
  <c r="Q41" i="1"/>
  <c r="R41" i="1"/>
  <c r="S41" i="1"/>
  <c r="N42" i="1"/>
  <c r="O42" i="1"/>
  <c r="P42" i="1"/>
  <c r="Q42" i="1"/>
  <c r="R42" i="1"/>
  <c r="S42" i="1"/>
  <c r="N43" i="1"/>
  <c r="O43" i="1"/>
  <c r="P43" i="1"/>
  <c r="Q43" i="1"/>
  <c r="R43" i="1"/>
  <c r="S43" i="1"/>
  <c r="N44" i="1"/>
  <c r="O44" i="1"/>
  <c r="P44" i="1"/>
  <c r="Q44" i="1"/>
  <c r="R44" i="1"/>
  <c r="S44" i="1"/>
  <c r="N45" i="1"/>
  <c r="O45" i="1"/>
  <c r="P45" i="1"/>
  <c r="Q45" i="1"/>
  <c r="R45" i="1"/>
  <c r="S45" i="1"/>
  <c r="N46" i="1"/>
  <c r="O46" i="1"/>
  <c r="P46" i="1"/>
  <c r="Q46" i="1"/>
  <c r="R46" i="1"/>
  <c r="S46" i="1"/>
  <c r="N47" i="1"/>
  <c r="O47" i="1"/>
  <c r="P47" i="1"/>
  <c r="Q47" i="1"/>
  <c r="R47" i="1"/>
  <c r="S47" i="1"/>
  <c r="N48" i="1"/>
  <c r="O48" i="1"/>
  <c r="P48" i="1"/>
  <c r="Q48" i="1"/>
  <c r="R48" i="1"/>
  <c r="S48" i="1"/>
  <c r="N49" i="1"/>
  <c r="O49" i="1"/>
  <c r="P49" i="1"/>
  <c r="Q49" i="1"/>
  <c r="R49" i="1"/>
  <c r="S49" i="1"/>
  <c r="N50" i="1"/>
  <c r="O50" i="1"/>
  <c r="P50" i="1"/>
  <c r="Q50" i="1"/>
  <c r="R50" i="1"/>
  <c r="S50" i="1"/>
  <c r="N51" i="1"/>
  <c r="O51" i="1"/>
  <c r="P51" i="1"/>
  <c r="Q51" i="1"/>
  <c r="R51" i="1"/>
  <c r="S51" i="1"/>
  <c r="N52" i="1"/>
  <c r="O52" i="1"/>
  <c r="P52" i="1"/>
  <c r="Q52" i="1"/>
  <c r="R52" i="1"/>
  <c r="S52" i="1"/>
  <c r="N53" i="1"/>
  <c r="O53" i="1"/>
  <c r="P53" i="1"/>
  <c r="Q53" i="1"/>
  <c r="R53" i="1"/>
  <c r="S53" i="1"/>
  <c r="N54" i="1"/>
  <c r="O54" i="1"/>
  <c r="P54" i="1"/>
  <c r="Q54" i="1"/>
  <c r="R54" i="1"/>
  <c r="S54" i="1"/>
  <c r="N55" i="1"/>
  <c r="O55" i="1"/>
  <c r="P55" i="1"/>
  <c r="Q55" i="1"/>
  <c r="R55" i="1"/>
  <c r="S55" i="1"/>
  <c r="N56" i="1"/>
  <c r="O56" i="1"/>
  <c r="P56" i="1"/>
  <c r="Q56" i="1"/>
  <c r="R56" i="1"/>
  <c r="S56" i="1"/>
  <c r="N57" i="1"/>
  <c r="O57" i="1"/>
  <c r="P57" i="1"/>
  <c r="Q57" i="1"/>
  <c r="R57" i="1"/>
  <c r="S57" i="1"/>
  <c r="N58" i="1"/>
  <c r="O58" i="1"/>
  <c r="P58" i="1"/>
  <c r="Q58" i="1"/>
  <c r="R58" i="1"/>
  <c r="S58" i="1"/>
  <c r="N59" i="1"/>
  <c r="O59" i="1"/>
  <c r="P59" i="1"/>
  <c r="Q59" i="1"/>
  <c r="R59" i="1"/>
  <c r="S59" i="1"/>
  <c r="N60" i="1"/>
  <c r="O60" i="1"/>
  <c r="P60" i="1"/>
  <c r="Q60" i="1"/>
  <c r="R60" i="1"/>
  <c r="S60" i="1"/>
  <c r="N61" i="1"/>
  <c r="O61" i="1"/>
  <c r="P61" i="1"/>
  <c r="Q61" i="1"/>
  <c r="R61" i="1"/>
  <c r="S61" i="1"/>
  <c r="N62" i="1"/>
  <c r="O62" i="1"/>
  <c r="P62" i="1"/>
  <c r="Q62" i="1"/>
  <c r="R62" i="1"/>
  <c r="S62" i="1"/>
  <c r="N63" i="1"/>
  <c r="O63" i="1"/>
  <c r="P63" i="1"/>
  <c r="Q63" i="1"/>
  <c r="R63" i="1"/>
  <c r="S63" i="1"/>
  <c r="N64" i="1"/>
  <c r="O64" i="1"/>
  <c r="P64" i="1"/>
  <c r="Q64" i="1"/>
  <c r="R64" i="1"/>
  <c r="S64" i="1"/>
  <c r="N65" i="1"/>
  <c r="O65" i="1"/>
  <c r="P65" i="1"/>
  <c r="Q65" i="1"/>
  <c r="R65" i="1"/>
  <c r="S65" i="1"/>
  <c r="N66" i="1"/>
  <c r="O66" i="1"/>
  <c r="P66" i="1"/>
  <c r="Q66" i="1"/>
  <c r="R66" i="1"/>
  <c r="S66" i="1"/>
  <c r="N67" i="1"/>
  <c r="O67" i="1"/>
  <c r="P67" i="1"/>
  <c r="Q67" i="1"/>
  <c r="R67" i="1"/>
  <c r="S67" i="1"/>
  <c r="N68" i="1"/>
  <c r="O68" i="1"/>
  <c r="P68" i="1"/>
  <c r="Q68" i="1"/>
  <c r="R68" i="1"/>
  <c r="S68" i="1"/>
  <c r="N69" i="1"/>
  <c r="O69" i="1"/>
  <c r="P69" i="1"/>
  <c r="Q69" i="1"/>
  <c r="R69" i="1"/>
  <c r="S69" i="1"/>
  <c r="N70" i="1"/>
  <c r="O70" i="1"/>
  <c r="P70" i="1"/>
  <c r="Q70" i="1"/>
  <c r="R70" i="1"/>
  <c r="S70" i="1"/>
  <c r="N71" i="1"/>
  <c r="O71" i="1"/>
  <c r="P71" i="1"/>
  <c r="Q71" i="1"/>
  <c r="R71" i="1"/>
  <c r="S71" i="1"/>
  <c r="N72" i="1"/>
  <c r="O72" i="1"/>
  <c r="P72" i="1"/>
  <c r="Q72" i="1"/>
  <c r="R72" i="1"/>
  <c r="S72" i="1"/>
  <c r="N73" i="1"/>
  <c r="O73" i="1"/>
  <c r="P73" i="1"/>
  <c r="Q73" i="1"/>
  <c r="R73" i="1"/>
  <c r="S73" i="1"/>
  <c r="N74" i="1"/>
  <c r="O74" i="1"/>
  <c r="P74" i="1"/>
  <c r="Q74" i="1"/>
  <c r="R74" i="1"/>
  <c r="S74" i="1"/>
  <c r="N75" i="1"/>
  <c r="O75" i="1"/>
  <c r="P75" i="1"/>
  <c r="Q75" i="1"/>
  <c r="R75" i="1"/>
  <c r="S75" i="1"/>
  <c r="N76" i="1"/>
  <c r="O76" i="1"/>
  <c r="P76" i="1"/>
  <c r="Q76" i="1"/>
  <c r="R76" i="1"/>
  <c r="S76" i="1"/>
  <c r="N77" i="1"/>
  <c r="O77" i="1"/>
  <c r="P77" i="1"/>
  <c r="Q77" i="1"/>
  <c r="R77" i="1"/>
  <c r="S77" i="1"/>
  <c r="N78" i="1"/>
  <c r="O78" i="1"/>
  <c r="P78" i="1"/>
  <c r="Q78" i="1"/>
  <c r="R78" i="1"/>
  <c r="S78" i="1"/>
  <c r="N79" i="1"/>
  <c r="O79" i="1"/>
  <c r="P79" i="1"/>
  <c r="Q79" i="1"/>
  <c r="R79" i="1"/>
  <c r="S79" i="1"/>
  <c r="N80" i="1"/>
  <c r="O80" i="1"/>
  <c r="P80" i="1"/>
  <c r="Q80" i="1"/>
  <c r="R80" i="1"/>
  <c r="S80" i="1"/>
  <c r="N81" i="1"/>
  <c r="O81" i="1"/>
  <c r="P81" i="1"/>
  <c r="Q81" i="1"/>
  <c r="R81" i="1"/>
  <c r="S81" i="1"/>
  <c r="N82" i="1"/>
  <c r="O82" i="1"/>
  <c r="P82" i="1"/>
  <c r="Q82" i="1"/>
  <c r="R82" i="1"/>
  <c r="S8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2" i="1"/>
</calcChain>
</file>

<file path=xl/sharedStrings.xml><?xml version="1.0" encoding="utf-8"?>
<sst xmlns="http://schemas.openxmlformats.org/spreadsheetml/2006/main" count="30" uniqueCount="10">
  <si>
    <t>date</t>
  </si>
  <si>
    <t>IBCR_RS</t>
  </si>
  <si>
    <t>benchmark_h1</t>
  </si>
  <si>
    <t>benchmark_h12</t>
  </si>
  <si>
    <t>lasso_h1</t>
  </si>
  <si>
    <t>lasso_h12</t>
  </si>
  <si>
    <t>enet_h1</t>
  </si>
  <si>
    <t>enet_h12</t>
  </si>
  <si>
    <t>rf_h1</t>
  </si>
  <si>
    <t>rf_h12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</si>
</sst>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lasso_h1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Sheet1!$A$2:$A$82</c:f>
              <c:numCache>
                <c:formatCode>yyyy\-mm\-dd</c:formatCode>
                <c:ptCount val="81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</c:numCache>
            </c:numRef>
          </c:cat>
          <c:val>
            <c:numRef>
              <c:f>Sheet1!$U$2:$U$82</c:f>
              <c:numCache>
                <c:formatCode>General</c:formatCode>
                <c:ptCount val="81"/>
                <c:pt idx="0">
                  <c:v>5.2456353231709225E-3</c:v>
                </c:pt>
                <c:pt idx="1">
                  <c:v>2.4415481515338319E-3</c:v>
                </c:pt>
                <c:pt idx="2">
                  <c:v>3.021632256273353E-3</c:v>
                </c:pt>
                <c:pt idx="3">
                  <c:v>-4.8687115033425795E-4</c:v>
                </c:pt>
                <c:pt idx="4">
                  <c:v>-4.3506518987201101E-5</c:v>
                </c:pt>
                <c:pt idx="5">
                  <c:v>6.7944446570326975E-3</c:v>
                </c:pt>
                <c:pt idx="6">
                  <c:v>1.160294660571407E-2</c:v>
                </c:pt>
                <c:pt idx="7">
                  <c:v>-5.0302978846608493E-3</c:v>
                </c:pt>
                <c:pt idx="8">
                  <c:v>3.4742291194589337E-3</c:v>
                </c:pt>
                <c:pt idx="9">
                  <c:v>-2.1978889414955537E-4</c:v>
                </c:pt>
                <c:pt idx="10">
                  <c:v>1.9532172724062802E-4</c:v>
                </c:pt>
                <c:pt idx="11">
                  <c:v>2.8667150452216213E-3</c:v>
                </c:pt>
                <c:pt idx="12">
                  <c:v>3.1079858872034346E-3</c:v>
                </c:pt>
                <c:pt idx="13">
                  <c:v>-2.3063486480268396E-4</c:v>
                </c:pt>
                <c:pt idx="14">
                  <c:v>2.4683140395405411E-3</c:v>
                </c:pt>
                <c:pt idx="15">
                  <c:v>2.3859483802080917E-4</c:v>
                </c:pt>
                <c:pt idx="16">
                  <c:v>5.0812426249128467E-4</c:v>
                </c:pt>
                <c:pt idx="17">
                  <c:v>-7.8771519667058404E-4</c:v>
                </c:pt>
                <c:pt idx="18">
                  <c:v>-5.1899308072038235E-3</c:v>
                </c:pt>
                <c:pt idx="19">
                  <c:v>2.9080215918129992E-2</c:v>
                </c:pt>
                <c:pt idx="20">
                  <c:v>-8.676273770248084E-3</c:v>
                </c:pt>
                <c:pt idx="21">
                  <c:v>8.869837291093521E-3</c:v>
                </c:pt>
                <c:pt idx="22">
                  <c:v>-3.6794241595964456E-3</c:v>
                </c:pt>
                <c:pt idx="23">
                  <c:v>2.3124287663185052E-3</c:v>
                </c:pt>
                <c:pt idx="24">
                  <c:v>-1.2104199393357129E-3</c:v>
                </c:pt>
                <c:pt idx="25">
                  <c:v>2.9560167048031009E-6</c:v>
                </c:pt>
                <c:pt idx="26">
                  <c:v>-4.4966988254227372E-4</c:v>
                </c:pt>
                <c:pt idx="27">
                  <c:v>1.0005540268872102E-3</c:v>
                </c:pt>
                <c:pt idx="28">
                  <c:v>-3.5787740238641785E-4</c:v>
                </c:pt>
                <c:pt idx="29">
                  <c:v>2.4266460008820386E-2</c:v>
                </c:pt>
                <c:pt idx="30">
                  <c:v>2.1925260040573113E-2</c:v>
                </c:pt>
                <c:pt idx="31">
                  <c:v>-1.0260469386057292E-3</c:v>
                </c:pt>
                <c:pt idx="32">
                  <c:v>2.4584885664368245E-3</c:v>
                </c:pt>
                <c:pt idx="33">
                  <c:v>8.2264260728797084E-5</c:v>
                </c:pt>
                <c:pt idx="34">
                  <c:v>-1.6947744908835166E-3</c:v>
                </c:pt>
                <c:pt idx="35">
                  <c:v>1.9562006037959431E-4</c:v>
                </c:pt>
                <c:pt idx="36">
                  <c:v>4.5098473877802192E-4</c:v>
                </c:pt>
                <c:pt idx="37">
                  <c:v>1.5916611373821849E-3</c:v>
                </c:pt>
                <c:pt idx="38">
                  <c:v>-4.263440847833746E-4</c:v>
                </c:pt>
                <c:pt idx="39">
                  <c:v>-1.9257862490708062E-4</c:v>
                </c:pt>
                <c:pt idx="40">
                  <c:v>-1.23162789504597E-3</c:v>
                </c:pt>
                <c:pt idx="41">
                  <c:v>9.3117329241644564E-3</c:v>
                </c:pt>
                <c:pt idx="42">
                  <c:v>1.9629915598538966E-2</c:v>
                </c:pt>
                <c:pt idx="43">
                  <c:v>6.3331518948398719E-3</c:v>
                </c:pt>
                <c:pt idx="44">
                  <c:v>-1.5394186871681773E-3</c:v>
                </c:pt>
                <c:pt idx="45">
                  <c:v>-7.7324320050768626E-4</c:v>
                </c:pt>
                <c:pt idx="46">
                  <c:v>2.2406910822692213E-5</c:v>
                </c:pt>
                <c:pt idx="47">
                  <c:v>-1.4511812046647779E-4</c:v>
                </c:pt>
                <c:pt idx="48">
                  <c:v>8.8461722770886324E-4</c:v>
                </c:pt>
                <c:pt idx="49">
                  <c:v>1.969819176067852E-4</c:v>
                </c:pt>
                <c:pt idx="50">
                  <c:v>-6.4387366579110215E-4</c:v>
                </c:pt>
                <c:pt idx="51">
                  <c:v>1.9634376225237406E-3</c:v>
                </c:pt>
                <c:pt idx="52">
                  <c:v>-1.8483923921178746E-5</c:v>
                </c:pt>
                <c:pt idx="53">
                  <c:v>1.5650500812584144E-3</c:v>
                </c:pt>
                <c:pt idx="54">
                  <c:v>3.1077773192472246E-2</c:v>
                </c:pt>
                <c:pt idx="55">
                  <c:v>5.2880430694741262E-3</c:v>
                </c:pt>
                <c:pt idx="56">
                  <c:v>9.4980977749659177E-4</c:v>
                </c:pt>
                <c:pt idx="57">
                  <c:v>5.2099086623448262E-4</c:v>
                </c:pt>
                <c:pt idx="58">
                  <c:v>-9.4555031686627212E-4</c:v>
                </c:pt>
                <c:pt idx="59">
                  <c:v>-3.7901175226843608E-4</c:v>
                </c:pt>
                <c:pt idx="60">
                  <c:v>1.4976024182886691E-3</c:v>
                </c:pt>
                <c:pt idx="61">
                  <c:v>1.0265911003030231E-3</c:v>
                </c:pt>
                <c:pt idx="62">
                  <c:v>7.1000179954157404E-4</c:v>
                </c:pt>
                <c:pt idx="63">
                  <c:v>-2.1973926427791635E-3</c:v>
                </c:pt>
                <c:pt idx="64">
                  <c:v>-2.8678933041373768E-4</c:v>
                </c:pt>
                <c:pt idx="65">
                  <c:v>9.6735468198129899E-3</c:v>
                </c:pt>
                <c:pt idx="66">
                  <c:v>1.7912855155329834E-2</c:v>
                </c:pt>
                <c:pt idx="67">
                  <c:v>-5.7164134259648936E-3</c:v>
                </c:pt>
                <c:pt idx="68">
                  <c:v>-4.4135511298253414E-3</c:v>
                </c:pt>
                <c:pt idx="69">
                  <c:v>2.1233378576578331E-2</c:v>
                </c:pt>
                <c:pt idx="70">
                  <c:v>1.7908841895164049E-3</c:v>
                </c:pt>
                <c:pt idx="71">
                  <c:v>8.1593295555056154E-4</c:v>
                </c:pt>
                <c:pt idx="72">
                  <c:v>4.1138844033698898E-4</c:v>
                </c:pt>
                <c:pt idx="73">
                  <c:v>9.147289068124443E-3</c:v>
                </c:pt>
                <c:pt idx="74">
                  <c:v>2.7083755614244224E-3</c:v>
                </c:pt>
                <c:pt idx="75">
                  <c:v>1.9193474569488295E-3</c:v>
                </c:pt>
                <c:pt idx="76">
                  <c:v>-9.5281002686749012E-4</c:v>
                </c:pt>
                <c:pt idx="77">
                  <c:v>7.4896999536536862E-3</c:v>
                </c:pt>
                <c:pt idx="78">
                  <c:v>2.6603536936747666E-2</c:v>
                </c:pt>
                <c:pt idx="79">
                  <c:v>-1.0076885353357788E-4</c:v>
                </c:pt>
                <c:pt idx="80">
                  <c:v>1.7740748098858756E-4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EC-4639-810C-D0B338A85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395839"/>
        <c:axId val="574396319"/>
      </c:lineChart>
      <c:dateAx>
        <c:axId val="574395839"/>
        <c:scaling>
          <c:orientation val="minMax"/>
        </c:scaling>
        <c:delete val="0"/>
        <c:axPos val="b"/>
        <c:numFmt formatCode="yyyy\-mm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396319"/>
        <c:crosses val="autoZero"/>
        <c:auto val="1"/>
        <c:lblOffset val="100"/>
        <c:baseTimeUnit val="months"/>
      </c:dateAx>
      <c:valAx>
        <c:axId val="57439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39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benchmark_h1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Sheet1!$A$2:$A$82</c:f>
              <c:numCache>
                <c:formatCode>yyyy\-mm\-dd</c:formatCode>
                <c:ptCount val="81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</c:numCache>
            </c:numRef>
          </c:cat>
          <c:val>
            <c:numRef>
              <c:f>Sheet1!$L$2:$L$82</c:f>
              <c:numCache>
                <c:formatCode>General</c:formatCode>
                <c:ptCount val="81"/>
                <c:pt idx="0">
                  <c:v>5.2465147017588237E-3</c:v>
                </c:pt>
                <c:pt idx="1">
                  <c:v>2.5001778714337625E-3</c:v>
                </c:pt>
                <c:pt idx="2">
                  <c:v>3.0427402204370748E-3</c:v>
                </c:pt>
                <c:pt idx="3">
                  <c:v>7.9976261942352257E-5</c:v>
                </c:pt>
                <c:pt idx="4">
                  <c:v>1.7141010878204212E-4</c:v>
                </c:pt>
                <c:pt idx="5">
                  <c:v>7.520590675437029E-3</c:v>
                </c:pt>
                <c:pt idx="6">
                  <c:v>1.1993402803208531E-2</c:v>
                </c:pt>
                <c:pt idx="7">
                  <c:v>6.4932206662927474E-5</c:v>
                </c:pt>
                <c:pt idx="8">
                  <c:v>3.5165203345262777E-3</c:v>
                </c:pt>
                <c:pt idx="9">
                  <c:v>3.1125603817267329E-5</c:v>
                </c:pt>
                <c:pt idx="10">
                  <c:v>3.7383164559681682E-4</c:v>
                </c:pt>
                <c:pt idx="11">
                  <c:v>2.8671106456345141E-3</c:v>
                </c:pt>
                <c:pt idx="12">
                  <c:v>3.113679713340763E-3</c:v>
                </c:pt>
                <c:pt idx="13">
                  <c:v>4.7122147245026356E-4</c:v>
                </c:pt>
                <c:pt idx="14">
                  <c:v>2.8507530139861058E-3</c:v>
                </c:pt>
                <c:pt idx="15">
                  <c:v>1.2865332935530274E-3</c:v>
                </c:pt>
                <c:pt idx="16">
                  <c:v>6.1458896324593539E-4</c:v>
                </c:pt>
                <c:pt idx="17">
                  <c:v>7.7386443192449105E-4</c:v>
                </c:pt>
                <c:pt idx="18">
                  <c:v>2.2496991689963607E-3</c:v>
                </c:pt>
                <c:pt idx="19">
                  <c:v>3.0516040910182063E-2</c:v>
                </c:pt>
                <c:pt idx="20">
                  <c:v>7.9210383426315601E-4</c:v>
                </c:pt>
                <c:pt idx="21">
                  <c:v>9.1404884732897464E-3</c:v>
                </c:pt>
                <c:pt idx="22">
                  <c:v>1.515310061360317E-4</c:v>
                </c:pt>
                <c:pt idx="23">
                  <c:v>3.7881466301374063E-3</c:v>
                </c:pt>
                <c:pt idx="24">
                  <c:v>9.8235981612303821E-5</c:v>
                </c:pt>
                <c:pt idx="25">
                  <c:v>6.5364818592709027E-6</c:v>
                </c:pt>
                <c:pt idx="26">
                  <c:v>2.7681862441092451E-5</c:v>
                </c:pt>
                <c:pt idx="27">
                  <c:v>1.3484102623493865E-3</c:v>
                </c:pt>
                <c:pt idx="28">
                  <c:v>6.0658013661195832E-7</c:v>
                </c:pt>
                <c:pt idx="29">
                  <c:v>2.5527958324700676E-2</c:v>
                </c:pt>
                <c:pt idx="30">
                  <c:v>2.2923604469106296E-2</c:v>
                </c:pt>
                <c:pt idx="31">
                  <c:v>3.5593806002587791E-4</c:v>
                </c:pt>
                <c:pt idx="32">
                  <c:v>3.3897386073380208E-3</c:v>
                </c:pt>
                <c:pt idx="33">
                  <c:v>3.3815662365323083E-4</c:v>
                </c:pt>
                <c:pt idx="34">
                  <c:v>7.53725858140754E-4</c:v>
                </c:pt>
                <c:pt idx="35">
                  <c:v>8.5352280653395963E-4</c:v>
                </c:pt>
                <c:pt idx="36">
                  <c:v>1.1915257807980806E-3</c:v>
                </c:pt>
                <c:pt idx="37">
                  <c:v>1.7043284369034678E-3</c:v>
                </c:pt>
                <c:pt idx="38">
                  <c:v>4.7142661100628766E-5</c:v>
                </c:pt>
                <c:pt idx="39">
                  <c:v>6.3388217324061033E-5</c:v>
                </c:pt>
                <c:pt idx="40">
                  <c:v>2.3789095609250254E-3</c:v>
                </c:pt>
                <c:pt idx="41">
                  <c:v>9.3729282169808734E-3</c:v>
                </c:pt>
                <c:pt idx="42">
                  <c:v>2.1538330000440795E-2</c:v>
                </c:pt>
                <c:pt idx="43">
                  <c:v>6.3412729929693797E-3</c:v>
                </c:pt>
                <c:pt idx="44">
                  <c:v>1.6525587039451499E-5</c:v>
                </c:pt>
                <c:pt idx="45">
                  <c:v>2.8395139649632921E-4</c:v>
                </c:pt>
                <c:pt idx="46">
                  <c:v>7.8259011004094099E-4</c:v>
                </c:pt>
                <c:pt idx="47">
                  <c:v>6.3274982506991522E-4</c:v>
                </c:pt>
                <c:pt idx="48">
                  <c:v>1.55633303539677E-3</c:v>
                </c:pt>
                <c:pt idx="49">
                  <c:v>2.3414379960610672E-4</c:v>
                </c:pt>
                <c:pt idx="50">
                  <c:v>5.286032893673261E-4</c:v>
                </c:pt>
                <c:pt idx="51">
                  <c:v>2.8899185390173503E-3</c:v>
                </c:pt>
                <c:pt idx="52">
                  <c:v>1.0961306931852237E-4</c:v>
                </c:pt>
                <c:pt idx="53">
                  <c:v>1.5661043383513905E-3</c:v>
                </c:pt>
                <c:pt idx="54">
                  <c:v>3.2211288701110646E-2</c:v>
                </c:pt>
                <c:pt idx="55">
                  <c:v>5.6905605957335787E-3</c:v>
                </c:pt>
                <c:pt idx="56">
                  <c:v>1.2078655491354997E-3</c:v>
                </c:pt>
                <c:pt idx="57">
                  <c:v>8.6246162459414552E-4</c:v>
                </c:pt>
                <c:pt idx="58">
                  <c:v>8.150363132091633E-5</c:v>
                </c:pt>
                <c:pt idx="59">
                  <c:v>1.5964452100460449E-4</c:v>
                </c:pt>
                <c:pt idx="60">
                  <c:v>3.4166332005582914E-3</c:v>
                </c:pt>
                <c:pt idx="61">
                  <c:v>1.0299810781211212E-3</c:v>
                </c:pt>
                <c:pt idx="62">
                  <c:v>9.6897700535683421E-4</c:v>
                </c:pt>
                <c:pt idx="63">
                  <c:v>2.8596589687924909E-4</c:v>
                </c:pt>
                <c:pt idx="64">
                  <c:v>1.9188028963756042E-4</c:v>
                </c:pt>
                <c:pt idx="65">
                  <c:v>1.4526889048775672E-2</c:v>
                </c:pt>
                <c:pt idx="66">
                  <c:v>1.8854131073427798E-2</c:v>
                </c:pt>
                <c:pt idx="67">
                  <c:v>5.9495226632095926E-4</c:v>
                </c:pt>
                <c:pt idx="68">
                  <c:v>1.0243460564864252E-2</c:v>
                </c:pt>
                <c:pt idx="69">
                  <c:v>2.2376425833779221E-2</c:v>
                </c:pt>
                <c:pt idx="70">
                  <c:v>3.3225620067376545E-3</c:v>
                </c:pt>
                <c:pt idx="71">
                  <c:v>8.5555528825489741E-4</c:v>
                </c:pt>
                <c:pt idx="72">
                  <c:v>4.1222218825625863E-4</c:v>
                </c:pt>
                <c:pt idx="73">
                  <c:v>1.0304702534317077E-2</c:v>
                </c:pt>
                <c:pt idx="74">
                  <c:v>2.7086694691824203E-3</c:v>
                </c:pt>
                <c:pt idx="75">
                  <c:v>2.4783030798919236E-3</c:v>
                </c:pt>
                <c:pt idx="76">
                  <c:v>4.4038454225748879E-4</c:v>
                </c:pt>
                <c:pt idx="77">
                  <c:v>7.4958881933457231E-3</c:v>
                </c:pt>
                <c:pt idx="78">
                  <c:v>2.6620432142860698E-2</c:v>
                </c:pt>
                <c:pt idx="79">
                  <c:v>1.793526848149915E-4</c:v>
                </c:pt>
                <c:pt idx="80">
                  <c:v>3.0957241321133481E-4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C0-4461-8B31-DF0A21DAEB70}"/>
            </c:ext>
          </c:extLst>
        </c:ser>
        <c:ser>
          <c:idx val="2"/>
          <c:order val="2"/>
          <c:tx>
            <c:strRef>
              <c:f>Sheet1!$N$1</c:f>
              <c:strCache>
                <c:ptCount val="1"/>
                <c:pt idx="0">
                  <c:v>lasso_h1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Sheet1!$A$2:$A$82</c:f>
              <c:numCache>
                <c:formatCode>yyyy\-mm\-dd</c:formatCode>
                <c:ptCount val="81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</c:numCache>
            </c:numRef>
          </c:cat>
          <c:val>
            <c:numRef>
              <c:f>Sheet1!$N$2:$N$82</c:f>
              <c:numCache>
                <c:formatCode>General</c:formatCode>
                <c:ptCount val="81"/>
                <c:pt idx="0">
                  <c:v>8.7937858790132981E-7</c:v>
                </c:pt>
                <c:pt idx="1">
                  <c:v>5.862971989993043E-5</c:v>
                </c:pt>
                <c:pt idx="2">
                  <c:v>2.1107964163721813E-5</c:v>
                </c:pt>
                <c:pt idx="3">
                  <c:v>5.6684741227661019E-4</c:v>
                </c:pt>
                <c:pt idx="4">
                  <c:v>2.1491662776924322E-4</c:v>
                </c:pt>
                <c:pt idx="5">
                  <c:v>7.2614601840433166E-4</c:v>
                </c:pt>
                <c:pt idx="6">
                  <c:v>3.9045619749446156E-4</c:v>
                </c:pt>
                <c:pt idx="7">
                  <c:v>5.0952300913237767E-3</c:v>
                </c:pt>
                <c:pt idx="8">
                  <c:v>4.2291215067343897E-5</c:v>
                </c:pt>
                <c:pt idx="9">
                  <c:v>2.509144979668227E-4</c:v>
                </c:pt>
                <c:pt idx="10">
                  <c:v>1.7850991835618879E-4</c:v>
                </c:pt>
                <c:pt idx="11">
                  <c:v>3.9560041289274809E-7</c:v>
                </c:pt>
                <c:pt idx="12">
                  <c:v>5.6938261373284725E-6</c:v>
                </c:pt>
                <c:pt idx="13">
                  <c:v>7.0185633725294752E-4</c:v>
                </c:pt>
                <c:pt idx="14">
                  <c:v>3.8243897444556479E-4</c:v>
                </c:pt>
                <c:pt idx="15">
                  <c:v>1.0479384555322183E-3</c:v>
                </c:pt>
                <c:pt idx="16">
                  <c:v>1.0646470075465069E-4</c:v>
                </c:pt>
                <c:pt idx="17">
                  <c:v>1.5615796285950751E-3</c:v>
                </c:pt>
                <c:pt idx="18">
                  <c:v>7.4396299762001837E-3</c:v>
                </c:pt>
                <c:pt idx="19">
                  <c:v>1.4358249920520716E-3</c:v>
                </c:pt>
                <c:pt idx="20">
                  <c:v>9.4683776045112397E-3</c:v>
                </c:pt>
                <c:pt idx="21">
                  <c:v>2.7065118219622573E-4</c:v>
                </c:pt>
                <c:pt idx="22">
                  <c:v>3.8309551657324773E-3</c:v>
                </c:pt>
                <c:pt idx="23">
                  <c:v>1.4757178638189013E-3</c:v>
                </c:pt>
                <c:pt idx="24">
                  <c:v>1.3086559209480166E-3</c:v>
                </c:pt>
                <c:pt idx="25">
                  <c:v>3.5804651544678018E-6</c:v>
                </c:pt>
                <c:pt idx="26">
                  <c:v>4.7735174498336617E-4</c:v>
                </c:pt>
                <c:pt idx="27">
                  <c:v>3.4785623546217624E-4</c:v>
                </c:pt>
                <c:pt idx="28">
                  <c:v>3.5848398252302983E-4</c:v>
                </c:pt>
                <c:pt idx="29">
                  <c:v>1.2614983158802902E-3</c:v>
                </c:pt>
                <c:pt idx="30">
                  <c:v>9.9834442853318135E-4</c:v>
                </c:pt>
                <c:pt idx="31">
                  <c:v>1.381984998631607E-3</c:v>
                </c:pt>
                <c:pt idx="32">
                  <c:v>9.3125004090119606E-4</c:v>
                </c:pt>
                <c:pt idx="33">
                  <c:v>2.5589236292443375E-4</c:v>
                </c:pt>
                <c:pt idx="34">
                  <c:v>2.4485003490242706E-3</c:v>
                </c:pt>
                <c:pt idx="35">
                  <c:v>6.5790274615436532E-4</c:v>
                </c:pt>
                <c:pt idx="36">
                  <c:v>7.4054104202005871E-4</c:v>
                </c:pt>
                <c:pt idx="37">
                  <c:v>1.1266729952128287E-4</c:v>
                </c:pt>
                <c:pt idx="38">
                  <c:v>4.7348674588400339E-4</c:v>
                </c:pt>
                <c:pt idx="39">
                  <c:v>2.5596684223114165E-4</c:v>
                </c:pt>
                <c:pt idx="40">
                  <c:v>3.6105374559709954E-3</c:v>
                </c:pt>
                <c:pt idx="41">
                  <c:v>6.11952928164178E-5</c:v>
                </c:pt>
                <c:pt idx="42">
                  <c:v>1.9084144019018269E-3</c:v>
                </c:pt>
                <c:pt idx="43">
                  <c:v>8.1210981295081227E-6</c:v>
                </c:pt>
                <c:pt idx="44">
                  <c:v>1.5559442742076287E-3</c:v>
                </c:pt>
                <c:pt idx="45">
                  <c:v>1.0571945970040155E-3</c:v>
                </c:pt>
                <c:pt idx="46">
                  <c:v>7.6018319921824877E-4</c:v>
                </c:pt>
                <c:pt idx="47">
                  <c:v>7.7786794553639301E-4</c:v>
                </c:pt>
                <c:pt idx="48">
                  <c:v>6.7171580768790671E-4</c:v>
                </c:pt>
                <c:pt idx="49">
                  <c:v>3.7161881999321532E-5</c:v>
                </c:pt>
                <c:pt idx="50">
                  <c:v>1.1724769551584282E-3</c:v>
                </c:pt>
                <c:pt idx="51">
                  <c:v>9.2648091649360966E-4</c:v>
                </c:pt>
                <c:pt idx="52">
                  <c:v>1.2809699323970111E-4</c:v>
                </c:pt>
                <c:pt idx="53">
                  <c:v>1.0542570929762167E-6</c:v>
                </c:pt>
                <c:pt idx="54">
                  <c:v>1.1335155086383997E-3</c:v>
                </c:pt>
                <c:pt idx="55">
                  <c:v>4.0251752625945287E-4</c:v>
                </c:pt>
                <c:pt idx="56">
                  <c:v>2.5805577163890792E-4</c:v>
                </c:pt>
                <c:pt idx="57">
                  <c:v>3.4147075835966285E-4</c:v>
                </c:pt>
                <c:pt idx="58">
                  <c:v>1.0270539481871885E-3</c:v>
                </c:pt>
                <c:pt idx="59">
                  <c:v>5.3865627327304058E-4</c:v>
                </c:pt>
                <c:pt idx="60">
                  <c:v>1.9190307822696223E-3</c:v>
                </c:pt>
                <c:pt idx="61">
                  <c:v>3.3899778180980122E-6</c:v>
                </c:pt>
                <c:pt idx="62">
                  <c:v>2.5897520581526012E-4</c:v>
                </c:pt>
                <c:pt idx="63">
                  <c:v>2.4833585396584128E-3</c:v>
                </c:pt>
                <c:pt idx="64">
                  <c:v>4.786696200512981E-4</c:v>
                </c:pt>
                <c:pt idx="65">
                  <c:v>4.8533422289626822E-3</c:v>
                </c:pt>
                <c:pt idx="66">
                  <c:v>9.4127591809796429E-4</c:v>
                </c:pt>
                <c:pt idx="67">
                  <c:v>6.311365692285853E-3</c:v>
                </c:pt>
                <c:pt idx="68">
                  <c:v>1.4657011694689593E-2</c:v>
                </c:pt>
                <c:pt idx="69">
                  <c:v>1.1430472572008916E-3</c:v>
                </c:pt>
                <c:pt idx="70">
                  <c:v>1.5316778172212496E-3</c:v>
                </c:pt>
                <c:pt idx="71">
                  <c:v>3.9622332704335844E-5</c:v>
                </c:pt>
                <c:pt idx="72">
                  <c:v>8.3374791926963677E-7</c:v>
                </c:pt>
                <c:pt idx="73">
                  <c:v>1.1574134661926348E-3</c:v>
                </c:pt>
                <c:pt idx="74">
                  <c:v>2.9390775799802624E-7</c:v>
                </c:pt>
                <c:pt idx="75">
                  <c:v>5.58955622943094E-4</c:v>
                </c:pt>
                <c:pt idx="76">
                  <c:v>1.3931945691249789E-3</c:v>
                </c:pt>
                <c:pt idx="77">
                  <c:v>6.1882396920371118E-6</c:v>
                </c:pt>
                <c:pt idx="78">
                  <c:v>1.6895206113032105E-5</c:v>
                </c:pt>
                <c:pt idx="79">
                  <c:v>2.8012153834856937E-4</c:v>
                </c:pt>
                <c:pt idx="80">
                  <c:v>1.3216493222274726E-4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C0-4461-8B31-DF0A21DAE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5028639"/>
        <c:axId val="73503007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Sheet1!$M$1</c15:sqref>
                        </c15:formulaRef>
                      </c:ext>
                    </c:extLst>
                    <c:strCache>
                      <c:ptCount val="1"/>
                      <c:pt idx="0">
                        <c:v>benchmark_h12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Sheet1!$A$2:$A$82</c15:sqref>
                        </c15:formulaRef>
                      </c:ext>
                    </c:extLst>
                    <c:numCache>
                      <c:formatCode>yyyy\-mm\-dd</c:formatCode>
                      <c:ptCount val="81"/>
                      <c:pt idx="0">
                        <c:v>43344</c:v>
                      </c:pt>
                      <c:pt idx="1">
                        <c:v>43374</c:v>
                      </c:pt>
                      <c:pt idx="2">
                        <c:v>43405</c:v>
                      </c:pt>
                      <c:pt idx="3">
                        <c:v>43435</c:v>
                      </c:pt>
                      <c:pt idx="4">
                        <c:v>43466</c:v>
                      </c:pt>
                      <c:pt idx="5">
                        <c:v>43497</c:v>
                      </c:pt>
                      <c:pt idx="6">
                        <c:v>43525</c:v>
                      </c:pt>
                      <c:pt idx="7">
                        <c:v>43556</c:v>
                      </c:pt>
                      <c:pt idx="8">
                        <c:v>43586</c:v>
                      </c:pt>
                      <c:pt idx="9">
                        <c:v>43617</c:v>
                      </c:pt>
                      <c:pt idx="10">
                        <c:v>43647</c:v>
                      </c:pt>
                      <c:pt idx="11">
                        <c:v>43678</c:v>
                      </c:pt>
                      <c:pt idx="12">
                        <c:v>43709</c:v>
                      </c:pt>
                      <c:pt idx="13">
                        <c:v>43739</c:v>
                      </c:pt>
                      <c:pt idx="14">
                        <c:v>43770</c:v>
                      </c:pt>
                      <c:pt idx="15">
                        <c:v>43800</c:v>
                      </c:pt>
                      <c:pt idx="16">
                        <c:v>43831</c:v>
                      </c:pt>
                      <c:pt idx="17">
                        <c:v>43862</c:v>
                      </c:pt>
                      <c:pt idx="18">
                        <c:v>43891</c:v>
                      </c:pt>
                      <c:pt idx="19">
                        <c:v>43922</c:v>
                      </c:pt>
                      <c:pt idx="20">
                        <c:v>43952</c:v>
                      </c:pt>
                      <c:pt idx="21">
                        <c:v>43983</c:v>
                      </c:pt>
                      <c:pt idx="22">
                        <c:v>44013</c:v>
                      </c:pt>
                      <c:pt idx="23">
                        <c:v>44044</c:v>
                      </c:pt>
                      <c:pt idx="24">
                        <c:v>44075</c:v>
                      </c:pt>
                      <c:pt idx="25">
                        <c:v>44105</c:v>
                      </c:pt>
                      <c:pt idx="26">
                        <c:v>44136</c:v>
                      </c:pt>
                      <c:pt idx="27">
                        <c:v>44166</c:v>
                      </c:pt>
                      <c:pt idx="28">
                        <c:v>44197</c:v>
                      </c:pt>
                      <c:pt idx="29">
                        <c:v>44228</c:v>
                      </c:pt>
                      <c:pt idx="30">
                        <c:v>44256</c:v>
                      </c:pt>
                      <c:pt idx="31">
                        <c:v>44287</c:v>
                      </c:pt>
                      <c:pt idx="32">
                        <c:v>44317</c:v>
                      </c:pt>
                      <c:pt idx="33">
                        <c:v>44348</c:v>
                      </c:pt>
                      <c:pt idx="34">
                        <c:v>44378</c:v>
                      </c:pt>
                      <c:pt idx="35">
                        <c:v>44409</c:v>
                      </c:pt>
                      <c:pt idx="36">
                        <c:v>44440</c:v>
                      </c:pt>
                      <c:pt idx="37">
                        <c:v>44470</c:v>
                      </c:pt>
                      <c:pt idx="38">
                        <c:v>44501</c:v>
                      </c:pt>
                      <c:pt idx="39">
                        <c:v>44531</c:v>
                      </c:pt>
                      <c:pt idx="40">
                        <c:v>44562</c:v>
                      </c:pt>
                      <c:pt idx="41">
                        <c:v>44593</c:v>
                      </c:pt>
                      <c:pt idx="42">
                        <c:v>44621</c:v>
                      </c:pt>
                      <c:pt idx="43">
                        <c:v>44652</c:v>
                      </c:pt>
                      <c:pt idx="44">
                        <c:v>44682</c:v>
                      </c:pt>
                      <c:pt idx="45">
                        <c:v>44713</c:v>
                      </c:pt>
                      <c:pt idx="46">
                        <c:v>44743</c:v>
                      </c:pt>
                      <c:pt idx="47">
                        <c:v>44774</c:v>
                      </c:pt>
                      <c:pt idx="48">
                        <c:v>44805</c:v>
                      </c:pt>
                      <c:pt idx="49">
                        <c:v>44835</c:v>
                      </c:pt>
                      <c:pt idx="50">
                        <c:v>44866</c:v>
                      </c:pt>
                      <c:pt idx="51">
                        <c:v>44896</c:v>
                      </c:pt>
                      <c:pt idx="52">
                        <c:v>44927</c:v>
                      </c:pt>
                      <c:pt idx="53">
                        <c:v>44958</c:v>
                      </c:pt>
                      <c:pt idx="54">
                        <c:v>44986</c:v>
                      </c:pt>
                      <c:pt idx="55">
                        <c:v>45017</c:v>
                      </c:pt>
                      <c:pt idx="56">
                        <c:v>45047</c:v>
                      </c:pt>
                      <c:pt idx="57">
                        <c:v>45078</c:v>
                      </c:pt>
                      <c:pt idx="58">
                        <c:v>45108</c:v>
                      </c:pt>
                      <c:pt idx="59">
                        <c:v>45139</c:v>
                      </c:pt>
                      <c:pt idx="60">
                        <c:v>45170</c:v>
                      </c:pt>
                      <c:pt idx="61">
                        <c:v>45200</c:v>
                      </c:pt>
                      <c:pt idx="62">
                        <c:v>45231</c:v>
                      </c:pt>
                      <c:pt idx="63">
                        <c:v>45261</c:v>
                      </c:pt>
                      <c:pt idx="64">
                        <c:v>45292</c:v>
                      </c:pt>
                      <c:pt idx="65">
                        <c:v>45323</c:v>
                      </c:pt>
                      <c:pt idx="66">
                        <c:v>45352</c:v>
                      </c:pt>
                      <c:pt idx="67">
                        <c:v>45383</c:v>
                      </c:pt>
                      <c:pt idx="68">
                        <c:v>45413</c:v>
                      </c:pt>
                      <c:pt idx="69">
                        <c:v>45444</c:v>
                      </c:pt>
                      <c:pt idx="70">
                        <c:v>45474</c:v>
                      </c:pt>
                      <c:pt idx="71">
                        <c:v>45505</c:v>
                      </c:pt>
                      <c:pt idx="72">
                        <c:v>45536</c:v>
                      </c:pt>
                      <c:pt idx="73">
                        <c:v>45566</c:v>
                      </c:pt>
                      <c:pt idx="74">
                        <c:v>45597</c:v>
                      </c:pt>
                      <c:pt idx="75">
                        <c:v>45627</c:v>
                      </c:pt>
                      <c:pt idx="76">
                        <c:v>45658</c:v>
                      </c:pt>
                      <c:pt idx="77">
                        <c:v>45689</c:v>
                      </c:pt>
                      <c:pt idx="78">
                        <c:v>45717</c:v>
                      </c:pt>
                      <c:pt idx="79">
                        <c:v>45748</c:v>
                      </c:pt>
                      <c:pt idx="80">
                        <c:v>45778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Sheet1!$M$2:$M$82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5.0360695436769617E-3</c:v>
                      </c:pt>
                      <c:pt idx="1">
                        <c:v>4.4814038381744449E-4</c:v>
                      </c:pt>
                      <c:pt idx="2">
                        <c:v>1.0505246705848014E-4</c:v>
                      </c:pt>
                      <c:pt idx="3">
                        <c:v>8.0814622756288665E-4</c:v>
                      </c:pt>
                      <c:pt idx="4">
                        <c:v>7.406572445091327E-5</c:v>
                      </c:pt>
                      <c:pt idx="5">
                        <c:v>3.906318063341796E-3</c:v>
                      </c:pt>
                      <c:pt idx="6">
                        <c:v>2.7432450478042922E-2</c:v>
                      </c:pt>
                      <c:pt idx="7">
                        <c:v>1.2539384747213948E-2</c:v>
                      </c:pt>
                      <c:pt idx="8">
                        <c:v>1.2600857909780751E-4</c:v>
                      </c:pt>
                      <c:pt idx="9">
                        <c:v>8.0190126662137463E-3</c:v>
                      </c:pt>
                      <c:pt idx="10">
                        <c:v>2.9844699285526436E-3</c:v>
                      </c:pt>
                      <c:pt idx="11">
                        <c:v>3.9481149136560267E-3</c:v>
                      </c:pt>
                      <c:pt idx="12">
                        <c:v>7.1176736197480963E-3</c:v>
                      </c:pt>
                      <c:pt idx="13">
                        <c:v>1.9096388964428106E-3</c:v>
                      </c:pt>
                      <c:pt idx="14">
                        <c:v>9.1384711158952394E-4</c:v>
                      </c:pt>
                      <c:pt idx="15">
                        <c:v>2.0454541768487782E-3</c:v>
                      </c:pt>
                      <c:pt idx="16">
                        <c:v>5.5347686740281046E-5</c:v>
                      </c:pt>
                      <c:pt idx="17">
                        <c:v>3.7072281301637968E-4</c:v>
                      </c:pt>
                      <c:pt idx="18">
                        <c:v>1.5635820197712483E-4</c:v>
                      </c:pt>
                      <c:pt idx="19">
                        <c:v>1.8142236334117445E-2</c:v>
                      </c:pt>
                      <c:pt idx="20">
                        <c:v>4.2749975308399739E-2</c:v>
                      </c:pt>
                      <c:pt idx="21">
                        <c:v>3.5890823359312367E-2</c:v>
                      </c:pt>
                      <c:pt idx="22">
                        <c:v>2.0770702339241172E-2</c:v>
                      </c:pt>
                      <c:pt idx="23">
                        <c:v>1.5704746461723262E-2</c:v>
                      </c:pt>
                      <c:pt idx="24">
                        <c:v>1.3201549258173311E-2</c:v>
                      </c:pt>
                      <c:pt idx="25">
                        <c:v>4.8093204363666986E-3</c:v>
                      </c:pt>
                      <c:pt idx="26">
                        <c:v>3.1924110099957369E-3</c:v>
                      </c:pt>
                      <c:pt idx="27">
                        <c:v>2.5348624708698077E-3</c:v>
                      </c:pt>
                      <c:pt idx="28">
                        <c:v>1.5034926298121513E-4</c:v>
                      </c:pt>
                      <c:pt idx="29">
                        <c:v>2.0217150135681877E-3</c:v>
                      </c:pt>
                      <c:pt idx="30">
                        <c:v>5.4928680080687131E-2</c:v>
                      </c:pt>
                      <c:pt idx="31">
                        <c:v>3.0135221336639022E-2</c:v>
                      </c:pt>
                      <c:pt idx="32">
                        <c:v>3.7953440731740631E-4</c:v>
                      </c:pt>
                      <c:pt idx="33">
                        <c:v>1.2985164844560785E-3</c:v>
                      </c:pt>
                      <c:pt idx="34">
                        <c:v>1.4730365422343317E-3</c:v>
                      </c:pt>
                      <c:pt idx="35">
                        <c:v>6.9695848760779842E-5</c:v>
                      </c:pt>
                      <c:pt idx="36">
                        <c:v>1.1136155864312884E-3</c:v>
                      </c:pt>
                      <c:pt idx="37">
                        <c:v>8.893237037259142E-3</c:v>
                      </c:pt>
                      <c:pt idx="38">
                        <c:v>3.7769601089565853E-3</c:v>
                      </c:pt>
                      <c:pt idx="39">
                        <c:v>1.1702579794795503E-3</c:v>
                      </c:pt>
                      <c:pt idx="40">
                        <c:v>1.1306817080326851E-3</c:v>
                      </c:pt>
                      <c:pt idx="41">
                        <c:v>1.7604820559936974E-3</c:v>
                      </c:pt>
                      <c:pt idx="42">
                        <c:v>4.8084350109972022E-2</c:v>
                      </c:pt>
                      <c:pt idx="43">
                        <c:v>1.1181904255934232E-2</c:v>
                      </c:pt>
                      <c:pt idx="44">
                        <c:v>8.4779818682134776E-4</c:v>
                      </c:pt>
                      <c:pt idx="45">
                        <c:v>3.7778568132352647E-3</c:v>
                      </c:pt>
                      <c:pt idx="46">
                        <c:v>2.6149715089381874E-3</c:v>
                      </c:pt>
                      <c:pt idx="47">
                        <c:v>8.6369833933195184E-4</c:v>
                      </c:pt>
                      <c:pt idx="48">
                        <c:v>1.8062839680549063E-3</c:v>
                      </c:pt>
                      <c:pt idx="49">
                        <c:v>6.4037161495254652E-5</c:v>
                      </c:pt>
                      <c:pt idx="50">
                        <c:v>1.9237934073551605E-3</c:v>
                      </c:pt>
                      <c:pt idx="51">
                        <c:v>4.7546200646148373E-5</c:v>
                      </c:pt>
                      <c:pt idx="52">
                        <c:v>3.451517312124388E-5</c:v>
                      </c:pt>
                      <c:pt idx="53">
                        <c:v>2.9478587855514119E-3</c:v>
                      </c:pt>
                      <c:pt idx="54">
                        <c:v>4.8091420026453023E-2</c:v>
                      </c:pt>
                      <c:pt idx="55">
                        <c:v>1.8863922694029304E-2</c:v>
                      </c:pt>
                      <c:pt idx="56">
                        <c:v>1.4400519130043617E-3</c:v>
                      </c:pt>
                      <c:pt idx="57">
                        <c:v>4.3459952127748089E-5</c:v>
                      </c:pt>
                      <c:pt idx="58">
                        <c:v>1.8736428252440389E-3</c:v>
                      </c:pt>
                      <c:pt idx="59">
                        <c:v>6.9464835281677996E-5</c:v>
                      </c:pt>
                      <c:pt idx="60">
                        <c:v>2.3627905802004541E-3</c:v>
                      </c:pt>
                      <c:pt idx="61">
                        <c:v>9.274531571690612E-9</c:v>
                      </c:pt>
                      <c:pt idx="62">
                        <c:v>1.3127815306633253E-4</c:v>
                      </c:pt>
                      <c:pt idx="63">
                        <c:v>1.1622615979093685E-4</c:v>
                      </c:pt>
                      <c:pt idx="64">
                        <c:v>1.1491909655028608E-4</c:v>
                      </c:pt>
                      <c:pt idx="65">
                        <c:v>1.9933674391961743E-2</c:v>
                      </c:pt>
                      <c:pt idx="66">
                        <c:v>7.9511374585962885E-2</c:v>
                      </c:pt>
                      <c:pt idx="67">
                        <c:v>4.911399143352637E-2</c:v>
                      </c:pt>
                      <c:pt idx="68">
                        <c:v>2.1712766226781293E-3</c:v>
                      </c:pt>
                      <c:pt idx="69">
                        <c:v>3.5131497351765667E-5</c:v>
                      </c:pt>
                      <c:pt idx="70">
                        <c:v>1.0810449930759853E-3</c:v>
                      </c:pt>
                      <c:pt idx="71">
                        <c:v>4.0735582551985818E-4</c:v>
                      </c:pt>
                      <c:pt idx="72">
                        <c:v>4.7466664122861464E-5</c:v>
                      </c:pt>
                      <c:pt idx="73">
                        <c:v>3.1336148498778203E-3</c:v>
                      </c:pt>
                      <c:pt idx="74">
                        <c:v>2.1490516784286665E-3</c:v>
                      </c:pt>
                      <c:pt idx="75">
                        <c:v>4.3879418907516525E-4</c:v>
                      </c:pt>
                      <c:pt idx="76">
                        <c:v>2.8828310372490491E-3</c:v>
                      </c:pt>
                      <c:pt idx="77">
                        <c:v>1.1368199107033548E-2</c:v>
                      </c:pt>
                      <c:pt idx="78">
                        <c:v>6.1848720932226521E-2</c:v>
                      </c:pt>
                      <c:pt idx="79">
                        <c:v>2.5417349496925635E-2</c:v>
                      </c:pt>
                      <c:pt idx="80">
                        <c:v>1.9273688568664526E-3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9C0-4461-8B31-DF0A21DAEB70}"/>
                  </c:ext>
                </c:extLst>
              </c15:ser>
            </c15:filteredLineSeries>
          </c:ext>
        </c:extLst>
      </c:lineChart>
      <c:dateAx>
        <c:axId val="735028639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5030079"/>
        <c:crosses val="autoZero"/>
        <c:auto val="1"/>
        <c:lblOffset val="100"/>
        <c:baseTimeUnit val="months"/>
      </c:dateAx>
      <c:valAx>
        <c:axId val="73503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502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IBCR_RS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Sheet1!$A$2:$A$82</c:f>
              <c:numCache>
                <c:formatCode>yyyy\-mm\-dd</c:formatCode>
                <c:ptCount val="81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</c:numCache>
            </c:numRef>
          </c:cat>
          <c:val>
            <c:numRef>
              <c:f>Sheet1!$B$2:$B$82</c:f>
              <c:numCache>
                <c:formatCode>General</c:formatCode>
                <c:ptCount val="81"/>
                <c:pt idx="0">
                  <c:v>4.537854478703224</c:v>
                </c:pt>
                <c:pt idx="1">
                  <c:v>4.5871080431696827</c:v>
                </c:pt>
                <c:pt idx="2">
                  <c:v>4.5933000134176041</c:v>
                </c:pt>
                <c:pt idx="3">
                  <c:v>4.5770793058215657</c:v>
                </c:pt>
                <c:pt idx="4">
                  <c:v>4.5913754749659024</c:v>
                </c:pt>
                <c:pt idx="5">
                  <c:v>4.6770256230885199</c:v>
                </c:pt>
                <c:pt idx="6">
                  <c:v>4.8086822953530737</c:v>
                </c:pt>
                <c:pt idx="7">
                  <c:v>4.7543657523499441</c:v>
                </c:pt>
                <c:pt idx="8">
                  <c:v>4.6006600305102046</c:v>
                </c:pt>
                <c:pt idx="9">
                  <c:v>4.5424433560797874</c:v>
                </c:pt>
                <c:pt idx="10">
                  <c:v>4.570164576789276</c:v>
                </c:pt>
                <c:pt idx="11">
                  <c:v>4.5625757883556712</c:v>
                </c:pt>
                <c:pt idx="12">
                  <c:v>4.5300155123873314</c:v>
                </c:pt>
                <c:pt idx="13">
                  <c:v>4.5835378858609772</c:v>
                </c:pt>
                <c:pt idx="14">
                  <c:v>4.5876170267405021</c:v>
                </c:pt>
                <c:pt idx="15">
                  <c:v>4.5754323677241349</c:v>
                </c:pt>
                <c:pt idx="16">
                  <c:v>4.5736795188967214</c:v>
                </c:pt>
                <c:pt idx="17">
                  <c:v>4.6166045636137536</c:v>
                </c:pt>
                <c:pt idx="18">
                  <c:v>4.69537645387424</c:v>
                </c:pt>
                <c:pt idx="19">
                  <c:v>4.5208098373700194</c:v>
                </c:pt>
                <c:pt idx="20">
                  <c:v>4.4475802654133201</c:v>
                </c:pt>
                <c:pt idx="21">
                  <c:v>4.4558577828010826</c:v>
                </c:pt>
                <c:pt idx="22">
                  <c:v>4.5008091706633486</c:v>
                </c:pt>
                <c:pt idx="23">
                  <c:v>4.5092097948421799</c:v>
                </c:pt>
                <c:pt idx="24">
                  <c:v>4.514150787600923</c:v>
                </c:pt>
                <c:pt idx="25">
                  <c:v>4.562888793731485</c:v>
                </c:pt>
                <c:pt idx="26">
                  <c:v>4.5711996664169376</c:v>
                </c:pt>
                <c:pt idx="27">
                  <c:v>4.5764620218513477</c:v>
                </c:pt>
                <c:pt idx="28">
                  <c:v>4.5612182984589076</c:v>
                </c:pt>
                <c:pt idx="29">
                  <c:v>4.6734828261701784</c:v>
                </c:pt>
                <c:pt idx="30">
                  <c:v>4.8299923276808574</c:v>
                </c:pt>
                <c:pt idx="31">
                  <c:v>4.7584919509317407</c:v>
                </c:pt>
                <c:pt idx="32">
                  <c:v>4.5710962056543396</c:v>
                </c:pt>
                <c:pt idx="33">
                  <c:v>4.5354985127387719</c:v>
                </c:pt>
                <c:pt idx="34">
                  <c:v>4.5554545937421587</c:v>
                </c:pt>
                <c:pt idx="35">
                  <c:v>4.5516639184649499</c:v>
                </c:pt>
                <c:pt idx="36">
                  <c:v>4.5262351978999487</c:v>
                </c:pt>
                <c:pt idx="37">
                  <c:v>4.5814920586335139</c:v>
                </c:pt>
                <c:pt idx="38">
                  <c:v>4.6203543213131324</c:v>
                </c:pt>
                <c:pt idx="39">
                  <c:v>4.593805855909042</c:v>
                </c:pt>
                <c:pt idx="40">
                  <c:v>4.5317389079022083</c:v>
                </c:pt>
                <c:pt idx="41">
                  <c:v>4.6215355400743556</c:v>
                </c:pt>
                <c:pt idx="42">
                  <c:v>4.8228588866193371</c:v>
                </c:pt>
                <c:pt idx="43">
                  <c:v>4.7082681439916589</c:v>
                </c:pt>
                <c:pt idx="44">
                  <c:v>4.5640356426295359</c:v>
                </c:pt>
                <c:pt idx="45">
                  <c:v>4.5348550120730664</c:v>
                </c:pt>
                <c:pt idx="46">
                  <c:v>4.5412714601378594</c:v>
                </c:pt>
                <c:pt idx="47">
                  <c:v>4.5589168014706294</c:v>
                </c:pt>
                <c:pt idx="48">
                  <c:v>4.5409516136614414</c:v>
                </c:pt>
                <c:pt idx="49">
                  <c:v>4.5814920586335139</c:v>
                </c:pt>
                <c:pt idx="50">
                  <c:v>4.6323961722416831</c:v>
                </c:pt>
                <c:pt idx="51">
                  <c:v>4.5804675733477191</c:v>
                </c:pt>
                <c:pt idx="52">
                  <c:v>4.5741953816886607</c:v>
                </c:pt>
                <c:pt idx="53">
                  <c:v>4.6485169904914576</c:v>
                </c:pt>
                <c:pt idx="54">
                  <c:v>4.8335798469748008</c:v>
                </c:pt>
                <c:pt idx="55">
                  <c:v>4.7403127799303846</c:v>
                </c:pt>
                <c:pt idx="56">
                  <c:v>4.6055701060094183</c:v>
                </c:pt>
                <c:pt idx="57">
                  <c:v>4.5673644712521924</c:v>
                </c:pt>
                <c:pt idx="58">
                  <c:v>4.5605911425901242</c:v>
                </c:pt>
                <c:pt idx="59">
                  <c:v>4.5953218499332769</c:v>
                </c:pt>
                <c:pt idx="60">
                  <c:v>4.537854478703224</c:v>
                </c:pt>
                <c:pt idx="61">
                  <c:v>4.5857834721879014</c:v>
                </c:pt>
                <c:pt idx="62">
                  <c:v>4.5983469606399661</c:v>
                </c:pt>
                <c:pt idx="63">
                  <c:v>4.5765649289777572</c:v>
                </c:pt>
                <c:pt idx="64">
                  <c:v>4.5992527122240539</c:v>
                </c:pt>
                <c:pt idx="65">
                  <c:v>4.7313622112258509</c:v>
                </c:pt>
                <c:pt idx="66">
                  <c:v>4.8755789297694152</c:v>
                </c:pt>
                <c:pt idx="67">
                  <c:v>4.8148636895778969</c:v>
                </c:pt>
                <c:pt idx="68">
                  <c:v>4.5482823237810432</c:v>
                </c:pt>
                <c:pt idx="69">
                  <c:v>4.5894472255228553</c:v>
                </c:pt>
                <c:pt idx="70">
                  <c:v>4.6276163748179213</c:v>
                </c:pt>
                <c:pt idx="71">
                  <c:v>4.6168022702177991</c:v>
                </c:pt>
                <c:pt idx="72">
                  <c:v>4.5885325448350676</c:v>
                </c:pt>
                <c:pt idx="73">
                  <c:v>4.6510036023312633</c:v>
                </c:pt>
                <c:pt idx="74">
                  <c:v>4.6413092326039642</c:v>
                </c:pt>
                <c:pt idx="75">
                  <c:v>4.6166045636137536</c:v>
                </c:pt>
                <c:pt idx="76">
                  <c:v>4.6500479447661771</c:v>
                </c:pt>
                <c:pt idx="77">
                  <c:v>4.7051060146006911</c:v>
                </c:pt>
                <c:pt idx="78">
                  <c:v>4.8491354529945996</c:v>
                </c:pt>
                <c:pt idx="79">
                  <c:v>4.7612333216196792</c:v>
                </c:pt>
                <c:pt idx="80">
                  <c:v>4.6449676558621578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2E-4706-8DEA-FEBE0D33508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benchmark_h1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Sheet1!$A$2:$A$82</c:f>
              <c:numCache>
                <c:formatCode>yyyy\-mm\-dd</c:formatCode>
                <c:ptCount val="81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</c:numCache>
            </c:numRef>
          </c:cat>
          <c:val>
            <c:numRef>
              <c:f>Sheet1!$C$2:$C$82</c:f>
              <c:numCache>
                <c:formatCode>General</c:formatCode>
                <c:ptCount val="81"/>
                <c:pt idx="0">
                  <c:v>4.6102873075984068</c:v>
                </c:pt>
                <c:pt idx="1">
                  <c:v>4.5371062644869822</c:v>
                </c:pt>
                <c:pt idx="2">
                  <c:v>4.6484610523893011</c:v>
                </c:pt>
                <c:pt idx="3">
                  <c:v>4.5860222506353479</c:v>
                </c:pt>
                <c:pt idx="4">
                  <c:v>4.6044678433071171</c:v>
                </c:pt>
                <c:pt idx="5">
                  <c:v>4.5903042838724017</c:v>
                </c:pt>
                <c:pt idx="6">
                  <c:v>4.6991678999376374</c:v>
                </c:pt>
                <c:pt idx="7">
                  <c:v>4.746307700062764</c:v>
                </c:pt>
                <c:pt idx="8">
                  <c:v>4.6599602862813754</c:v>
                </c:pt>
                <c:pt idx="9">
                  <c:v>4.5368643235635471</c:v>
                </c:pt>
                <c:pt idx="10">
                  <c:v>4.5894993032056703</c:v>
                </c:pt>
                <c:pt idx="11">
                  <c:v>4.616121195680992</c:v>
                </c:pt>
                <c:pt idx="12">
                  <c:v>4.5858158682405046</c:v>
                </c:pt>
                <c:pt idx="13">
                  <c:v>4.5618302495905247</c:v>
                </c:pt>
                <c:pt idx="14">
                  <c:v>4.6410094701570204</c:v>
                </c:pt>
                <c:pt idx="15">
                  <c:v>4.6113006447046789</c:v>
                </c:pt>
                <c:pt idx="16">
                  <c:v>4.598470423745999</c:v>
                </c:pt>
                <c:pt idx="17">
                  <c:v>4.5887861446808866</c:v>
                </c:pt>
                <c:pt idx="18">
                  <c:v>4.647945460114923</c:v>
                </c:pt>
                <c:pt idx="19">
                  <c:v>4.6954982482912424</c:v>
                </c:pt>
                <c:pt idx="20">
                  <c:v>4.4757246047067403</c:v>
                </c:pt>
                <c:pt idx="21">
                  <c:v>4.5514636846758609</c:v>
                </c:pt>
                <c:pt idx="22">
                  <c:v>4.5131189637621798</c:v>
                </c:pt>
                <c:pt idx="23">
                  <c:v>4.5707577162541773</c:v>
                </c:pt>
                <c:pt idx="24">
                  <c:v>4.5042393809594667</c:v>
                </c:pt>
                <c:pt idx="25">
                  <c:v>4.5603321393044514</c:v>
                </c:pt>
                <c:pt idx="26">
                  <c:v>4.5659383108462608</c:v>
                </c:pt>
                <c:pt idx="27">
                  <c:v>4.5397413156714634</c:v>
                </c:pt>
                <c:pt idx="28">
                  <c:v>4.5604394659116858</c:v>
                </c:pt>
                <c:pt idx="29">
                  <c:v>4.5137081150150626</c:v>
                </c:pt>
                <c:pt idx="30">
                  <c:v>4.6785868969027433</c:v>
                </c:pt>
                <c:pt idx="31">
                  <c:v>4.7773582717184198</c:v>
                </c:pt>
                <c:pt idx="32">
                  <c:v>4.6293176673960206</c:v>
                </c:pt>
                <c:pt idx="33">
                  <c:v>4.5171094773194458</c:v>
                </c:pt>
                <c:pt idx="34">
                  <c:v>4.5829086618949981</c:v>
                </c:pt>
                <c:pt idx="35">
                  <c:v>4.5808790311043692</c:v>
                </c:pt>
                <c:pt idx="36">
                  <c:v>4.5607536825248287</c:v>
                </c:pt>
                <c:pt idx="37">
                  <c:v>4.5402085457390973</c:v>
                </c:pt>
                <c:pt idx="38">
                  <c:v>4.6272203726602044</c:v>
                </c:pt>
                <c:pt idx="39">
                  <c:v>4.6017675276759551</c:v>
                </c:pt>
                <c:pt idx="40">
                  <c:v>4.5805129743814863</c:v>
                </c:pt>
                <c:pt idx="41">
                  <c:v>4.5247216556518159</c:v>
                </c:pt>
                <c:pt idx="42">
                  <c:v>4.6760994576192187</c:v>
                </c:pt>
                <c:pt idx="43">
                  <c:v>4.7879002543050833</c:v>
                </c:pt>
                <c:pt idx="44">
                  <c:v>4.5599704751004602</c:v>
                </c:pt>
                <c:pt idx="45">
                  <c:v>4.5517058695140493</c:v>
                </c:pt>
                <c:pt idx="46">
                  <c:v>4.5692462722023031</c:v>
                </c:pt>
                <c:pt idx="47">
                  <c:v>4.5840713204497296</c:v>
                </c:pt>
                <c:pt idx="48">
                  <c:v>4.5804020006734438</c:v>
                </c:pt>
                <c:pt idx="49">
                  <c:v>4.5661903005774569</c:v>
                </c:pt>
                <c:pt idx="50">
                  <c:v>4.6094047980033448</c:v>
                </c:pt>
                <c:pt idx="51">
                  <c:v>4.6342255359115789</c:v>
                </c:pt>
                <c:pt idx="52">
                  <c:v>4.563725755653385</c:v>
                </c:pt>
                <c:pt idx="53">
                  <c:v>4.6089429543269294</c:v>
                </c:pt>
                <c:pt idx="54">
                  <c:v>4.6541048105460243</c:v>
                </c:pt>
                <c:pt idx="55">
                  <c:v>4.8157485843983796</c:v>
                </c:pt>
                <c:pt idx="56">
                  <c:v>4.5708157458637402</c:v>
                </c:pt>
                <c:pt idx="57">
                  <c:v>4.5967321682098046</c:v>
                </c:pt>
                <c:pt idx="58">
                  <c:v>4.5696190787507822</c:v>
                </c:pt>
                <c:pt idx="59">
                  <c:v>4.607956901219465</c:v>
                </c:pt>
                <c:pt idx="60">
                  <c:v>4.5963064521562931</c:v>
                </c:pt>
                <c:pt idx="61">
                  <c:v>4.5536901539094634</c:v>
                </c:pt>
                <c:pt idx="62">
                  <c:v>4.6294753561231392</c:v>
                </c:pt>
                <c:pt idx="63">
                  <c:v>4.5934754551930839</c:v>
                </c:pt>
                <c:pt idx="64">
                  <c:v>4.5854006261126568</c:v>
                </c:pt>
                <c:pt idx="65">
                  <c:v>4.6108346664538127</c:v>
                </c:pt>
                <c:pt idx="66">
                  <c:v>4.7382685839340493</c:v>
                </c:pt>
                <c:pt idx="67">
                  <c:v>4.7904720462072472</c:v>
                </c:pt>
                <c:pt idx="68">
                  <c:v>4.6494923063166818</c:v>
                </c:pt>
                <c:pt idx="69">
                  <c:v>4.4398597065455716</c:v>
                </c:pt>
                <c:pt idx="70">
                  <c:v>4.6852580438320786</c:v>
                </c:pt>
                <c:pt idx="71">
                  <c:v>4.5875523934957529</c:v>
                </c:pt>
                <c:pt idx="72">
                  <c:v>4.6088358004423897</c:v>
                </c:pt>
                <c:pt idx="73">
                  <c:v>4.5494915216003617</c:v>
                </c:pt>
                <c:pt idx="74">
                  <c:v>4.6933541119791959</c:v>
                </c:pt>
                <c:pt idx="75">
                  <c:v>4.5668220056251174</c:v>
                </c:pt>
                <c:pt idx="76">
                  <c:v>4.6710332858941523</c:v>
                </c:pt>
                <c:pt idx="77">
                  <c:v>4.6185272170036713</c:v>
                </c:pt>
                <c:pt idx="78">
                  <c:v>4.6859777619627003</c:v>
                </c:pt>
                <c:pt idx="79">
                  <c:v>4.7746255837443163</c:v>
                </c:pt>
                <c:pt idx="80">
                  <c:v>4.6273729858393544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2E-4706-8DEA-FEBE0D335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656207"/>
        <c:axId val="758653807"/>
      </c:lineChart>
      <c:dateAx>
        <c:axId val="758656207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8653807"/>
        <c:crosses val="autoZero"/>
        <c:auto val="1"/>
        <c:lblOffset val="100"/>
        <c:baseTimeUnit val="months"/>
      </c:dateAx>
      <c:valAx>
        <c:axId val="75865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865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219074</xdr:colOff>
      <xdr:row>2</xdr:row>
      <xdr:rowOff>82550</xdr:rowOff>
    </xdr:from>
    <xdr:to>
      <xdr:col>28</xdr:col>
      <xdr:colOff>380999</xdr:colOff>
      <xdr:row>19</xdr:row>
      <xdr:rowOff>95250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55BC76F-F050-C8BF-2339-0BFC66ADB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596900</xdr:colOff>
      <xdr:row>2</xdr:row>
      <xdr:rowOff>120650</xdr:rowOff>
    </xdr:from>
    <xdr:to>
      <xdr:col>17</xdr:col>
      <xdr:colOff>139699</xdr:colOff>
      <xdr:row>17</xdr:row>
      <xdr:rowOff>101600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4D77B38-9BBA-00D6-F46E-029C8BFA52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168274</xdr:colOff>
      <xdr:row>1</xdr:row>
      <xdr:rowOff>38100</xdr:rowOff>
    </xdr:from>
    <xdr:to>
      <xdr:col>10</xdr:col>
      <xdr:colOff>196849</xdr:colOff>
      <xdr:row>21</xdr:row>
      <xdr:rowOff>139700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62E0FD1-6123-1BBA-1D63-26E967C95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2"/>
  <sheetViews>
    <sheetView tabSelected="1" topLeftCell="A2" workbookViewId="0">
      <selection sqref="A1:C1048576"/>
    </sheetView>
  </sheetViews>
  <sheetFormatPr defaultRowHeight="14.5" x14ac:dyDescent="0.35"/>
  <cols>
    <col min="1" max="1" width="20.7265625" style="2" customWidth="1"/>
  </cols>
  <sheetData>
    <row r="1" spans="1:33" s="1" customFormat="1" x14ac:dyDescent="0.35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B1" s="1" t="s">
        <v>4</v>
      </c>
      <c r="AC1" s="1" t="s">
        <v>5</v>
      </c>
      <c r="AD1" s="1" t="s">
        <v>6</v>
      </c>
      <c r="AE1" s="1" t="s">
        <v>7</v>
      </c>
      <c r="AF1" s="1" t="s">
        <v>8</v>
      </c>
      <c r="AG1" s="1" t="s">
        <v>9</v>
      </c>
    </row>
    <row r="2" spans="1:33" x14ac:dyDescent="0.35">
      <c r="A2" s="2">
        <v>43344</v>
      </c>
      <c r="B2">
        <v>4.537854478703224</v>
      </c>
      <c r="C2">
        <v>4.6102873075984068</v>
      </c>
      <c r="D2">
        <v>4.6088197486856384</v>
      </c>
      <c r="E2">
        <v>4.5387922305829349</v>
      </c>
      <c r="F2">
        <v>4.5196060638691931</v>
      </c>
      <c r="G2">
        <v>4.5236091726598513</v>
      </c>
      <c r="H2">
        <v>4.5473247135138903</v>
      </c>
      <c r="I2">
        <v>4.5432565646425278</v>
      </c>
      <c r="J2">
        <v>4.5288639485591826</v>
      </c>
      <c r="L2" s="3">
        <f>(C2-$B2)^2</f>
        <v>5.2465147017588237E-3</v>
      </c>
      <c r="M2" s="3">
        <f>(D2-$B2)^2</f>
        <v>5.0360695436769617E-3</v>
      </c>
      <c r="N2" s="3">
        <f t="shared" ref="N2:S17" si="0">(E2-$B2)^2</f>
        <v>8.7937858790132981E-7</v>
      </c>
      <c r="O2" s="3">
        <f t="shared" si="0"/>
        <v>3.3300464395488066E-4</v>
      </c>
      <c r="P2" s="3">
        <f t="shared" si="0"/>
        <v>2.0292874426935099E-4</v>
      </c>
      <c r="Q2" s="3">
        <f t="shared" si="0"/>
        <v>8.9685347369156408E-5</v>
      </c>
      <c r="R2" s="3">
        <f t="shared" si="0"/>
        <v>2.9182532495623844E-5</v>
      </c>
      <c r="S2" s="3">
        <f t="shared" si="0"/>
        <v>8.0829632270916838E-5</v>
      </c>
      <c r="U2" s="3">
        <f>$L2-N2</f>
        <v>5.2456353231709225E-3</v>
      </c>
      <c r="V2" s="3">
        <f>$M2-O2</f>
        <v>4.7030648997220814E-3</v>
      </c>
      <c r="W2" s="3">
        <f>$L2-P2</f>
        <v>5.0435859574894729E-3</v>
      </c>
      <c r="X2" s="3">
        <f>$M2-Q2</f>
        <v>4.9463841963078049E-3</v>
      </c>
      <c r="Y2" s="3">
        <f>$L2-R2</f>
        <v>5.2173321692631997E-3</v>
      </c>
      <c r="Z2" s="3">
        <f>$M2-S2</f>
        <v>4.9552399114060446E-3</v>
      </c>
      <c r="AB2">
        <f>SUM(U$2:U2)</f>
        <v>5.2456353231709225E-3</v>
      </c>
      <c r="AC2">
        <f>SUM(V$2:V2)</f>
        <v>4.7030648997220814E-3</v>
      </c>
      <c r="AD2">
        <f>SUM(W$2:W2)</f>
        <v>5.0435859574894729E-3</v>
      </c>
      <c r="AE2">
        <f>SUM(X$2:X2)</f>
        <v>4.9463841963078049E-3</v>
      </c>
      <c r="AF2">
        <f>SUM(Y$2:Y2)</f>
        <v>5.2173321692631997E-3</v>
      </c>
      <c r="AG2">
        <f>SUM(Z$2:Z2)</f>
        <v>4.9552399114060446E-3</v>
      </c>
    </row>
    <row r="3" spans="1:33" x14ac:dyDescent="0.35">
      <c r="A3" s="2">
        <v>43374</v>
      </c>
      <c r="B3">
        <v>4.5871080431696827</v>
      </c>
      <c r="C3">
        <v>4.5371062644869822</v>
      </c>
      <c r="D3">
        <v>4.608277369654421</v>
      </c>
      <c r="E3">
        <v>4.5794510385399381</v>
      </c>
      <c r="F3">
        <v>4.5438425726399814</v>
      </c>
      <c r="G3">
        <v>4.5590151564153496</v>
      </c>
      <c r="H3">
        <v>4.5692693508797566</v>
      </c>
      <c r="I3">
        <v>4.5545516366485908</v>
      </c>
      <c r="J3">
        <v>4.5507346542358293</v>
      </c>
      <c r="L3" s="3">
        <f t="shared" ref="L3:L66" si="1">(C3-$B3)^2</f>
        <v>2.5001778714337625E-3</v>
      </c>
      <c r="M3" s="3">
        <f t="shared" ref="M3:M66" si="2">(D3-$B3)^2</f>
        <v>4.4814038381744449E-4</v>
      </c>
      <c r="N3" s="3">
        <f t="shared" si="0"/>
        <v>5.862971989993043E-5</v>
      </c>
      <c r="O3" s="3">
        <f t="shared" si="0"/>
        <v>1.8719009401564526E-3</v>
      </c>
      <c r="P3" s="3">
        <f t="shared" si="0"/>
        <v>7.8921028619178299E-4</v>
      </c>
      <c r="Q3" s="3">
        <f t="shared" si="0"/>
        <v>3.182189426146679E-4</v>
      </c>
      <c r="R3" s="3">
        <f t="shared" si="0"/>
        <v>1.0599196055665972E-3</v>
      </c>
      <c r="S3" s="3">
        <f t="shared" si="0"/>
        <v>1.3230234225333642E-3</v>
      </c>
      <c r="U3" s="3">
        <f t="shared" ref="U3:U66" si="3">$L3-N3</f>
        <v>2.4415481515338319E-3</v>
      </c>
      <c r="V3" s="3">
        <f t="shared" ref="V3:V66" si="4">$M3-O3</f>
        <v>-1.4237605563390081E-3</v>
      </c>
      <c r="W3" s="3">
        <f t="shared" ref="W3:W66" si="5">$L3-P3</f>
        <v>1.7109675852419795E-3</v>
      </c>
      <c r="X3" s="3">
        <f t="shared" ref="X3:X66" si="6">$M3-Q3</f>
        <v>1.2992144120277659E-4</v>
      </c>
      <c r="Y3" s="3">
        <f t="shared" ref="Y3:Y66" si="7">$L3-R3</f>
        <v>1.4402582658671653E-3</v>
      </c>
      <c r="Z3" s="3">
        <f t="shared" ref="Z3:Z66" si="8">$M3-S3</f>
        <v>-8.748830387159197E-4</v>
      </c>
      <c r="AB3">
        <f>SUM(U$2:U3)</f>
        <v>7.6871834747047549E-3</v>
      </c>
      <c r="AC3">
        <f>SUM(V$2:V3)</f>
        <v>3.2793043433830731E-3</v>
      </c>
      <c r="AD3">
        <f>SUM(W$2:W3)</f>
        <v>6.7545535427314526E-3</v>
      </c>
      <c r="AE3">
        <f>SUM(X$2:X3)</f>
        <v>5.0763056375105814E-3</v>
      </c>
      <c r="AF3">
        <f>SUM(Y$2:Y3)</f>
        <v>6.6575904351303655E-3</v>
      </c>
      <c r="AG3">
        <f>SUM(Z$2:Z3)</f>
        <v>4.0803568726901253E-3</v>
      </c>
    </row>
    <row r="4" spans="1:33" x14ac:dyDescent="0.35">
      <c r="A4" s="2">
        <v>43405</v>
      </c>
      <c r="B4">
        <v>4.5933000134176041</v>
      </c>
      <c r="C4">
        <v>4.6484610523893011</v>
      </c>
      <c r="D4">
        <v>4.603549523994138</v>
      </c>
      <c r="E4">
        <v>4.5978943538668657</v>
      </c>
      <c r="F4">
        <v>4.5700203499932748</v>
      </c>
      <c r="G4">
        <v>4.5900365837774473</v>
      </c>
      <c r="H4">
        <v>4.6094179681633927</v>
      </c>
      <c r="I4">
        <v>4.5626826504498998</v>
      </c>
      <c r="J4">
        <v>4.5656118963294743</v>
      </c>
      <c r="L4" s="3">
        <f t="shared" si="1"/>
        <v>3.0427402204370748E-3</v>
      </c>
      <c r="M4" s="3">
        <f t="shared" si="2"/>
        <v>1.0505246705848014E-4</v>
      </c>
      <c r="N4" s="3">
        <f t="shared" si="0"/>
        <v>2.1107964163721813E-5</v>
      </c>
      <c r="O4" s="3">
        <f t="shared" si="0"/>
        <v>5.4194272915005534E-4</v>
      </c>
      <c r="P4" s="3">
        <f t="shared" si="0"/>
        <v>1.0649973016253946E-5</v>
      </c>
      <c r="Q4" s="3">
        <f t="shared" si="0"/>
        <v>2.5978846518728886E-4</v>
      </c>
      <c r="R4" s="3">
        <f t="shared" si="0"/>
        <v>9.3742291509614647E-4</v>
      </c>
      <c r="S4" s="3">
        <f t="shared" si="0"/>
        <v>7.6663182788598507E-4</v>
      </c>
      <c r="U4" s="3">
        <f t="shared" si="3"/>
        <v>3.021632256273353E-3</v>
      </c>
      <c r="V4" s="3">
        <f t="shared" si="4"/>
        <v>-4.3689026209157522E-4</v>
      </c>
      <c r="W4" s="3">
        <f t="shared" si="5"/>
        <v>3.0320902474208207E-3</v>
      </c>
      <c r="X4" s="3">
        <f t="shared" si="6"/>
        <v>-1.5473599812880872E-4</v>
      </c>
      <c r="Y4" s="3">
        <f t="shared" si="7"/>
        <v>2.1053173053409285E-3</v>
      </c>
      <c r="Z4" s="3">
        <f t="shared" si="8"/>
        <v>-6.6157936082750495E-4</v>
      </c>
      <c r="AB4">
        <f>SUM(U$2:U4)</f>
        <v>1.0708815730978108E-2</v>
      </c>
      <c r="AC4">
        <f>SUM(V$2:V4)</f>
        <v>2.842414081291498E-3</v>
      </c>
      <c r="AD4">
        <f>SUM(W$2:W4)</f>
        <v>9.7866437901522729E-3</v>
      </c>
      <c r="AE4">
        <f>SUM(X$2:X4)</f>
        <v>4.921569639381773E-3</v>
      </c>
      <c r="AF4">
        <f>SUM(Y$2:Y4)</f>
        <v>8.762907740471294E-3</v>
      </c>
      <c r="AG4">
        <f>SUM(Z$2:Z4)</f>
        <v>3.4187775118626204E-3</v>
      </c>
    </row>
    <row r="5" spans="1:33" x14ac:dyDescent="0.35">
      <c r="A5" s="2">
        <v>43435</v>
      </c>
      <c r="B5">
        <v>4.5770793058215657</v>
      </c>
      <c r="C5">
        <v>4.5860222506353479</v>
      </c>
      <c r="D5">
        <v>4.6055072186461627</v>
      </c>
      <c r="E5">
        <v>4.6008878633645294</v>
      </c>
      <c r="F5">
        <v>4.6172954054810171</v>
      </c>
      <c r="G5">
        <v>4.6083246343238367</v>
      </c>
      <c r="H5">
        <v>4.621748975863234</v>
      </c>
      <c r="I5">
        <v>4.5748499304183721</v>
      </c>
      <c r="J5">
        <v>4.5806854749204433</v>
      </c>
      <c r="L5" s="3">
        <f t="shared" si="1"/>
        <v>7.9976261942352257E-5</v>
      </c>
      <c r="M5" s="3">
        <f t="shared" si="2"/>
        <v>8.0814622756288665E-4</v>
      </c>
      <c r="N5" s="3">
        <f t="shared" si="0"/>
        <v>5.6684741227661019E-4</v>
      </c>
      <c r="O5" s="3">
        <f t="shared" si="0"/>
        <v>1.617334671818926E-3</v>
      </c>
      <c r="P5" s="3">
        <f t="shared" si="0"/>
        <v>9.762705532148228E-4</v>
      </c>
      <c r="Q5" s="3">
        <f t="shared" si="0"/>
        <v>1.9953794216315112E-3</v>
      </c>
      <c r="R5" s="3">
        <f t="shared" si="0"/>
        <v>4.9701146883649772E-6</v>
      </c>
      <c r="S5" s="3">
        <f t="shared" si="0"/>
        <v>1.3004455569699431E-5</v>
      </c>
      <c r="U5" s="3">
        <f t="shared" si="3"/>
        <v>-4.8687115033425795E-4</v>
      </c>
      <c r="V5" s="3">
        <f t="shared" si="4"/>
        <v>-8.0918844425603936E-4</v>
      </c>
      <c r="W5" s="3">
        <f t="shared" si="5"/>
        <v>-8.9629429127247051E-4</v>
      </c>
      <c r="X5" s="3">
        <f t="shared" si="6"/>
        <v>-1.1872331940686247E-3</v>
      </c>
      <c r="Y5" s="3">
        <f t="shared" si="7"/>
        <v>7.5006147253987276E-5</v>
      </c>
      <c r="Z5" s="3">
        <f t="shared" si="8"/>
        <v>7.9514177199318723E-4</v>
      </c>
      <c r="AB5">
        <f>SUM(U$2:U5)</f>
        <v>1.0221944580643849E-2</v>
      </c>
      <c r="AC5">
        <f>SUM(V$2:V5)</f>
        <v>2.0332256370354587E-3</v>
      </c>
      <c r="AD5">
        <f>SUM(W$2:W5)</f>
        <v>8.8903494988798026E-3</v>
      </c>
      <c r="AE5">
        <f>SUM(X$2:X5)</f>
        <v>3.7343364453131483E-3</v>
      </c>
      <c r="AF5">
        <f>SUM(Y$2:Y5)</f>
        <v>8.8379138877252815E-3</v>
      </c>
      <c r="AG5">
        <f>SUM(Z$2:Z5)</f>
        <v>4.2139192838558078E-3</v>
      </c>
    </row>
    <row r="6" spans="1:33" x14ac:dyDescent="0.35">
      <c r="A6" s="2">
        <v>43466</v>
      </c>
      <c r="B6">
        <v>4.5913754749659024</v>
      </c>
      <c r="C6">
        <v>4.6044678433071171</v>
      </c>
      <c r="D6">
        <v>4.5999816195411993</v>
      </c>
      <c r="E6">
        <v>4.576715439912423</v>
      </c>
      <c r="F6">
        <v>4.607603218329837</v>
      </c>
      <c r="G6">
        <v>4.6054638994461321</v>
      </c>
      <c r="H6">
        <v>4.6395942639578429</v>
      </c>
      <c r="I6">
        <v>4.5819384360226909</v>
      </c>
      <c r="J6">
        <v>4.5896061308018146</v>
      </c>
      <c r="L6" s="3">
        <f t="shared" si="1"/>
        <v>1.7141010878204212E-4</v>
      </c>
      <c r="M6" s="3">
        <f t="shared" si="2"/>
        <v>7.406572445091327E-5</v>
      </c>
      <c r="N6" s="3">
        <f t="shared" si="0"/>
        <v>2.1491662776924322E-4</v>
      </c>
      <c r="O6" s="3">
        <f t="shared" si="0"/>
        <v>2.6333965468572417E-4</v>
      </c>
      <c r="P6" s="3">
        <f t="shared" si="0"/>
        <v>1.9848370433513641E-4</v>
      </c>
      <c r="Q6" s="3">
        <f t="shared" si="0"/>
        <v>2.3250516118492864E-3</v>
      </c>
      <c r="R6" s="3">
        <f t="shared" si="0"/>
        <v>8.905770401568971E-5</v>
      </c>
      <c r="S6" s="3">
        <f t="shared" si="0"/>
        <v>3.1305787709915732E-6</v>
      </c>
      <c r="U6" s="3">
        <f t="shared" si="3"/>
        <v>-4.3506518987201101E-5</v>
      </c>
      <c r="V6" s="3">
        <f t="shared" si="4"/>
        <v>-1.892739302348109E-4</v>
      </c>
      <c r="W6" s="3">
        <f t="shared" si="5"/>
        <v>-2.7073595553094297E-5</v>
      </c>
      <c r="X6" s="3">
        <f t="shared" si="6"/>
        <v>-2.2509858873983732E-3</v>
      </c>
      <c r="Y6" s="3">
        <f t="shared" si="7"/>
        <v>8.2352404766352407E-5</v>
      </c>
      <c r="Z6" s="3">
        <f t="shared" si="8"/>
        <v>7.0935145679921696E-5</v>
      </c>
      <c r="AB6">
        <f>SUM(U$2:U6)</f>
        <v>1.0178438061656648E-2</v>
      </c>
      <c r="AC6">
        <f>SUM(V$2:V6)</f>
        <v>1.8439517068006479E-3</v>
      </c>
      <c r="AD6">
        <f>SUM(W$2:W6)</f>
        <v>8.8632759033267089E-3</v>
      </c>
      <c r="AE6">
        <f>SUM(X$2:X6)</f>
        <v>1.4833505579147752E-3</v>
      </c>
      <c r="AF6">
        <f>SUM(Y$2:Y6)</f>
        <v>8.9202662924916347E-3</v>
      </c>
      <c r="AG6">
        <f>SUM(Z$2:Z6)</f>
        <v>4.2848544295357293E-3</v>
      </c>
    </row>
    <row r="7" spans="1:33" x14ac:dyDescent="0.35">
      <c r="A7" s="2">
        <v>43497</v>
      </c>
      <c r="B7">
        <v>4.6770256230885199</v>
      </c>
      <c r="C7">
        <v>4.5903042838724017</v>
      </c>
      <c r="D7">
        <v>4.6145250785841574</v>
      </c>
      <c r="E7">
        <v>4.6500785264285023</v>
      </c>
      <c r="F7">
        <v>4.6702650301904196</v>
      </c>
      <c r="G7">
        <v>4.6566139053070064</v>
      </c>
      <c r="H7">
        <v>4.6911702484613924</v>
      </c>
      <c r="I7">
        <v>4.6421460736818441</v>
      </c>
      <c r="J7">
        <v>4.6549217846855973</v>
      </c>
      <c r="L7" s="3">
        <f t="shared" si="1"/>
        <v>7.520590675437029E-3</v>
      </c>
      <c r="M7" s="3">
        <f t="shared" si="2"/>
        <v>3.906318063341796E-3</v>
      </c>
      <c r="N7" s="3">
        <f t="shared" si="0"/>
        <v>7.2614601840433166E-4</v>
      </c>
      <c r="O7" s="3">
        <f t="shared" si="0"/>
        <v>4.5705616333843815E-5</v>
      </c>
      <c r="P7" s="3">
        <f t="shared" si="0"/>
        <v>4.1663822279215505E-4</v>
      </c>
      <c r="Q7" s="3">
        <f t="shared" si="0"/>
        <v>2.0007042693890944E-4</v>
      </c>
      <c r="R7" s="3">
        <f t="shared" si="0"/>
        <v>1.2165829668127391E-3</v>
      </c>
      <c r="S7" s="3">
        <f t="shared" si="0"/>
        <v>4.8857967214251704E-4</v>
      </c>
      <c r="U7" s="3">
        <f t="shared" si="3"/>
        <v>6.7944446570326975E-3</v>
      </c>
      <c r="V7" s="3">
        <f t="shared" si="4"/>
        <v>3.8606124470079522E-3</v>
      </c>
      <c r="W7" s="3">
        <f t="shared" si="5"/>
        <v>7.103952452644874E-3</v>
      </c>
      <c r="X7" s="3">
        <f t="shared" si="6"/>
        <v>3.7062476364028867E-3</v>
      </c>
      <c r="Y7" s="3">
        <f t="shared" si="7"/>
        <v>6.3040077086242898E-3</v>
      </c>
      <c r="Z7" s="3">
        <f t="shared" si="8"/>
        <v>3.4177383911992787E-3</v>
      </c>
      <c r="AB7">
        <f>SUM(U$2:U7)</f>
        <v>1.6972882718689346E-2</v>
      </c>
      <c r="AC7">
        <f>SUM(V$2:V7)</f>
        <v>5.7045641538086E-3</v>
      </c>
      <c r="AD7">
        <f>SUM(W$2:W7)</f>
        <v>1.5967228355971582E-2</v>
      </c>
      <c r="AE7">
        <f>SUM(X$2:X7)</f>
        <v>5.1895981943176619E-3</v>
      </c>
      <c r="AF7">
        <f>SUM(Y$2:Y7)</f>
        <v>1.5224274001115925E-2</v>
      </c>
      <c r="AG7">
        <f>SUM(Z$2:Z7)</f>
        <v>7.702592820735008E-3</v>
      </c>
    </row>
    <row r="8" spans="1:33" x14ac:dyDescent="0.35">
      <c r="A8" s="2">
        <v>43525</v>
      </c>
      <c r="B8">
        <v>4.8086822953530737</v>
      </c>
      <c r="C8">
        <v>4.6991678999376374</v>
      </c>
      <c r="D8">
        <v>4.643054850531743</v>
      </c>
      <c r="E8">
        <v>4.8284422598645413</v>
      </c>
      <c r="F8">
        <v>4.8085663377595269</v>
      </c>
      <c r="G8">
        <v>4.724659122268263</v>
      </c>
      <c r="H8">
        <v>4.7595009325430384</v>
      </c>
      <c r="I8">
        <v>4.770917969287817</v>
      </c>
      <c r="J8">
        <v>4.7558403074276452</v>
      </c>
      <c r="L8" s="3">
        <f t="shared" si="1"/>
        <v>1.1993402803208531E-2</v>
      </c>
      <c r="M8" s="3">
        <f t="shared" si="2"/>
        <v>2.7432450478042922E-2</v>
      </c>
      <c r="N8" s="3">
        <f t="shared" si="0"/>
        <v>3.9045619749446156E-4</v>
      </c>
      <c r="O8" s="3">
        <f t="shared" si="0"/>
        <v>1.3446163501157256E-8</v>
      </c>
      <c r="P8" s="3">
        <f t="shared" si="0"/>
        <v>7.059893615240051E-3</v>
      </c>
      <c r="Q8" s="3">
        <f t="shared" si="0"/>
        <v>2.4188064478523202E-3</v>
      </c>
      <c r="R8" s="3">
        <f t="shared" si="0"/>
        <v>1.4261443231630268E-3</v>
      </c>
      <c r="S8" s="3">
        <f t="shared" si="0"/>
        <v>2.7922756879111303E-3</v>
      </c>
      <c r="U8" s="3">
        <f t="shared" si="3"/>
        <v>1.160294660571407E-2</v>
      </c>
      <c r="V8" s="3">
        <f t="shared" si="4"/>
        <v>2.743243703187942E-2</v>
      </c>
      <c r="W8" s="3">
        <f t="shared" si="5"/>
        <v>4.9335091879684802E-3</v>
      </c>
      <c r="X8" s="3">
        <f t="shared" si="6"/>
        <v>2.5013644030190602E-2</v>
      </c>
      <c r="Y8" s="3">
        <f t="shared" si="7"/>
        <v>1.0567258480045505E-2</v>
      </c>
      <c r="Z8" s="3">
        <f t="shared" si="8"/>
        <v>2.4640174790131791E-2</v>
      </c>
      <c r="AB8">
        <f>SUM(U$2:U8)</f>
        <v>2.8575829324403418E-2</v>
      </c>
      <c r="AC8">
        <f>SUM(V$2:V8)</f>
        <v>3.313700118568802E-2</v>
      </c>
      <c r="AD8">
        <f>SUM(W$2:W8)</f>
        <v>2.0900737543940062E-2</v>
      </c>
      <c r="AE8">
        <f>SUM(X$2:X8)</f>
        <v>3.0203242224508264E-2</v>
      </c>
      <c r="AF8">
        <f>SUM(Y$2:Y8)</f>
        <v>2.5791532481161429E-2</v>
      </c>
      <c r="AG8">
        <f>SUM(Z$2:Z8)</f>
        <v>3.2342767610866796E-2</v>
      </c>
    </row>
    <row r="9" spans="1:33" x14ac:dyDescent="0.35">
      <c r="A9" s="2">
        <v>43556</v>
      </c>
      <c r="B9">
        <v>4.7543657523499441</v>
      </c>
      <c r="C9">
        <v>4.746307700062764</v>
      </c>
      <c r="D9">
        <v>4.642386358052538</v>
      </c>
      <c r="E9">
        <v>4.6829848719174096</v>
      </c>
      <c r="F9">
        <v>4.7381956956279208</v>
      </c>
      <c r="G9">
        <v>4.6678187205427051</v>
      </c>
      <c r="H9">
        <v>4.7295749476452293</v>
      </c>
      <c r="I9">
        <v>4.7109298172178979</v>
      </c>
      <c r="J9">
        <v>4.7139245435263026</v>
      </c>
      <c r="L9" s="3">
        <f t="shared" si="1"/>
        <v>6.4932206662927474E-5</v>
      </c>
      <c r="M9" s="3">
        <f t="shared" si="2"/>
        <v>1.2539384747213948E-2</v>
      </c>
      <c r="N9" s="3">
        <f t="shared" si="0"/>
        <v>5.0952300913237767E-3</v>
      </c>
      <c r="O9" s="3">
        <f t="shared" si="0"/>
        <v>2.6147073439345152E-4</v>
      </c>
      <c r="P9" s="3">
        <f t="shared" si="0"/>
        <v>7.4903887146432384E-3</v>
      </c>
      <c r="Q9" s="3">
        <f t="shared" si="0"/>
        <v>6.1458399790730598E-4</v>
      </c>
      <c r="R9" s="3">
        <f t="shared" si="0"/>
        <v>1.8866804607953196E-3</v>
      </c>
      <c r="S9" s="3">
        <f t="shared" si="0"/>
        <v>1.6354913711173742E-3</v>
      </c>
      <c r="U9" s="3">
        <f t="shared" si="3"/>
        <v>-5.0302978846608493E-3</v>
      </c>
      <c r="V9" s="3">
        <f t="shared" si="4"/>
        <v>1.2277914012820496E-2</v>
      </c>
      <c r="W9" s="3">
        <f t="shared" si="5"/>
        <v>-7.425456507980311E-3</v>
      </c>
      <c r="X9" s="3">
        <f t="shared" si="6"/>
        <v>1.1924800749306642E-2</v>
      </c>
      <c r="Y9" s="3">
        <f t="shared" si="7"/>
        <v>-1.8217482541323922E-3</v>
      </c>
      <c r="Z9" s="3">
        <f t="shared" si="8"/>
        <v>1.0903893376096574E-2</v>
      </c>
      <c r="AB9">
        <f>SUM(U$2:U9)</f>
        <v>2.354553143974257E-2</v>
      </c>
      <c r="AC9">
        <f>SUM(V$2:V9)</f>
        <v>4.5414915198508515E-2</v>
      </c>
      <c r="AD9">
        <f>SUM(W$2:W9)</f>
        <v>1.3475281035959751E-2</v>
      </c>
      <c r="AE9">
        <f>SUM(X$2:X9)</f>
        <v>4.2128042973814908E-2</v>
      </c>
      <c r="AF9">
        <f>SUM(Y$2:Y9)</f>
        <v>2.3969784227029035E-2</v>
      </c>
      <c r="AG9">
        <f>SUM(Z$2:Z9)</f>
        <v>4.3246660986963371E-2</v>
      </c>
    </row>
    <row r="10" spans="1:33" x14ac:dyDescent="0.35">
      <c r="A10" s="2">
        <v>43586</v>
      </c>
      <c r="B10">
        <v>4.6006600305102046</v>
      </c>
      <c r="C10">
        <v>4.6599602862813754</v>
      </c>
      <c r="D10">
        <v>4.5894346762129983</v>
      </c>
      <c r="E10">
        <v>4.5941568608932144</v>
      </c>
      <c r="F10">
        <v>4.5804558177189811</v>
      </c>
      <c r="G10">
        <v>4.6147067812357463</v>
      </c>
      <c r="H10">
        <v>4.656144357197264</v>
      </c>
      <c r="I10">
        <v>4.5618792451143522</v>
      </c>
      <c r="J10">
        <v>4.5756220902073661</v>
      </c>
      <c r="L10" s="3">
        <f t="shared" si="1"/>
        <v>3.5165203345262777E-3</v>
      </c>
      <c r="M10" s="3">
        <f t="shared" si="2"/>
        <v>1.2600857909780751E-4</v>
      </c>
      <c r="N10" s="3">
        <f t="shared" si="0"/>
        <v>4.2291215067343897E-5</v>
      </c>
      <c r="O10" s="3">
        <f t="shared" si="0"/>
        <v>4.0821021451303602E-4</v>
      </c>
      <c r="P10" s="3">
        <f t="shared" si="0"/>
        <v>1.9731120594550724E-4</v>
      </c>
      <c r="Q10" s="3">
        <f t="shared" si="0"/>
        <v>3.0785105079163422E-3</v>
      </c>
      <c r="R10" s="3">
        <f t="shared" si="0"/>
        <v>1.5039493159191581E-3</v>
      </c>
      <c r="S10" s="3">
        <f t="shared" si="0"/>
        <v>6.2689845460850229E-4</v>
      </c>
      <c r="U10" s="3">
        <f t="shared" si="3"/>
        <v>3.4742291194589337E-3</v>
      </c>
      <c r="V10" s="3">
        <f t="shared" si="4"/>
        <v>-2.8220163541522851E-4</v>
      </c>
      <c r="W10" s="3">
        <f t="shared" si="5"/>
        <v>3.3192091285807706E-3</v>
      </c>
      <c r="X10" s="3">
        <f t="shared" si="6"/>
        <v>-2.9525019288185348E-3</v>
      </c>
      <c r="Y10" s="3">
        <f t="shared" si="7"/>
        <v>2.0125710186071196E-3</v>
      </c>
      <c r="Z10" s="3">
        <f t="shared" si="8"/>
        <v>-5.0088987551069478E-4</v>
      </c>
      <c r="AB10">
        <f>SUM(U$2:U10)</f>
        <v>2.7019760559201505E-2</v>
      </c>
      <c r="AC10">
        <f>SUM(V$2:V10)</f>
        <v>4.5132713563093285E-2</v>
      </c>
      <c r="AD10">
        <f>SUM(W$2:W10)</f>
        <v>1.6794490164540522E-2</v>
      </c>
      <c r="AE10">
        <f>SUM(X$2:X10)</f>
        <v>3.9175541044996376E-2</v>
      </c>
      <c r="AF10">
        <f>SUM(Y$2:Y10)</f>
        <v>2.5982355245636156E-2</v>
      </c>
      <c r="AG10">
        <f>SUM(Z$2:Z10)</f>
        <v>4.2745771111452675E-2</v>
      </c>
    </row>
    <row r="11" spans="1:33" x14ac:dyDescent="0.35">
      <c r="A11" s="2">
        <v>43617</v>
      </c>
      <c r="B11">
        <v>4.5424433560797874</v>
      </c>
      <c r="C11">
        <v>4.5368643235635471</v>
      </c>
      <c r="D11">
        <v>4.6319922961417097</v>
      </c>
      <c r="E11">
        <v>4.5582836369474622</v>
      </c>
      <c r="F11">
        <v>4.5767348050207994</v>
      </c>
      <c r="G11">
        <v>4.6001599710675674</v>
      </c>
      <c r="H11">
        <v>4.6175792236849604</v>
      </c>
      <c r="I11">
        <v>4.5572317716277873</v>
      </c>
      <c r="J11">
        <v>4.5776068280225779</v>
      </c>
      <c r="L11" s="3">
        <f t="shared" si="1"/>
        <v>3.1125603817267329E-5</v>
      </c>
      <c r="M11" s="3">
        <f t="shared" si="2"/>
        <v>8.0190126662137463E-3</v>
      </c>
      <c r="N11" s="3">
        <f t="shared" si="0"/>
        <v>2.509144979668227E-4</v>
      </c>
      <c r="O11" s="3">
        <f t="shared" si="0"/>
        <v>1.1759034704740326E-3</v>
      </c>
      <c r="P11" s="3">
        <f t="shared" si="0"/>
        <v>3.331207645647621E-3</v>
      </c>
      <c r="Q11" s="3">
        <f t="shared" si="0"/>
        <v>5.6453986007820841E-3</v>
      </c>
      <c r="R11" s="3">
        <f t="shared" si="0"/>
        <v>2.1869723442032257E-4</v>
      </c>
      <c r="S11" s="3">
        <f t="shared" si="0"/>
        <v>1.2364697590714119E-3</v>
      </c>
      <c r="U11" s="3">
        <f t="shared" si="3"/>
        <v>-2.1978889414955537E-4</v>
      </c>
      <c r="V11" s="3">
        <f t="shared" si="4"/>
        <v>6.8431091957397135E-3</v>
      </c>
      <c r="W11" s="3">
        <f t="shared" si="5"/>
        <v>-3.3000820418303536E-3</v>
      </c>
      <c r="X11" s="3">
        <f t="shared" si="6"/>
        <v>2.3736140654316623E-3</v>
      </c>
      <c r="Y11" s="3">
        <f t="shared" si="7"/>
        <v>-1.8757163060305524E-4</v>
      </c>
      <c r="Z11" s="3">
        <f t="shared" si="8"/>
        <v>6.7825429071423343E-3</v>
      </c>
      <c r="AB11">
        <f>SUM(U$2:U11)</f>
        <v>2.679997166505195E-2</v>
      </c>
      <c r="AC11">
        <f>SUM(V$2:V11)</f>
        <v>5.1975822758833001E-2</v>
      </c>
      <c r="AD11">
        <f>SUM(W$2:W11)</f>
        <v>1.3494408122710168E-2</v>
      </c>
      <c r="AE11">
        <f>SUM(X$2:X11)</f>
        <v>4.1549155110428039E-2</v>
      </c>
      <c r="AF11">
        <f>SUM(Y$2:Y11)</f>
        <v>2.5794783615033099E-2</v>
      </c>
      <c r="AG11">
        <f>SUM(Z$2:Z11)</f>
        <v>4.9528314018595011E-2</v>
      </c>
    </row>
    <row r="12" spans="1:33" x14ac:dyDescent="0.35">
      <c r="A12" s="2">
        <v>43647</v>
      </c>
      <c r="B12">
        <v>4.570164576789276</v>
      </c>
      <c r="C12">
        <v>4.5894993032056703</v>
      </c>
      <c r="D12">
        <v>4.6247948790816178</v>
      </c>
      <c r="E12">
        <v>4.5568038163933933</v>
      </c>
      <c r="F12">
        <v>4.587744487646555</v>
      </c>
      <c r="G12">
        <v>4.5763315484408711</v>
      </c>
      <c r="H12">
        <v>4.5895513191401109</v>
      </c>
      <c r="I12">
        <v>4.5487302343843732</v>
      </c>
      <c r="J12">
        <v>4.5765414696121631</v>
      </c>
      <c r="L12" s="3">
        <f t="shared" si="1"/>
        <v>3.7383164559681682E-4</v>
      </c>
      <c r="M12" s="3">
        <f t="shared" si="2"/>
        <v>2.9844699285526436E-3</v>
      </c>
      <c r="N12" s="3">
        <f t="shared" si="0"/>
        <v>1.7850991835618879E-4</v>
      </c>
      <c r="O12" s="3">
        <f t="shared" si="0"/>
        <v>3.090532657498742E-4</v>
      </c>
      <c r="P12" s="3">
        <f t="shared" si="0"/>
        <v>3.8031539351577312E-5</v>
      </c>
      <c r="Q12" s="3">
        <f t="shared" si="0"/>
        <v>3.7584577897765661E-4</v>
      </c>
      <c r="R12" s="3">
        <f t="shared" si="0"/>
        <v>4.5943103433061555E-4</v>
      </c>
      <c r="S12" s="3">
        <f t="shared" si="0"/>
        <v>4.0664762074589193E-5</v>
      </c>
      <c r="U12" s="3">
        <f t="shared" si="3"/>
        <v>1.9532172724062802E-4</v>
      </c>
      <c r="V12" s="3">
        <f t="shared" si="4"/>
        <v>2.6754166628027696E-3</v>
      </c>
      <c r="W12" s="3">
        <f t="shared" si="5"/>
        <v>3.3580010624523952E-4</v>
      </c>
      <c r="X12" s="3">
        <f t="shared" si="6"/>
        <v>2.6086241495749869E-3</v>
      </c>
      <c r="Y12" s="3">
        <f t="shared" si="7"/>
        <v>-8.5599388733798736E-5</v>
      </c>
      <c r="Z12" s="3">
        <f t="shared" si="8"/>
        <v>2.9438051664780543E-3</v>
      </c>
      <c r="AB12">
        <f>SUM(U$2:U12)</f>
        <v>2.6995293392292577E-2</v>
      </c>
      <c r="AC12">
        <f>SUM(V$2:V12)</f>
        <v>5.4651239421635772E-2</v>
      </c>
      <c r="AD12">
        <f>SUM(W$2:W12)</f>
        <v>1.3830208228955407E-2</v>
      </c>
      <c r="AE12">
        <f>SUM(X$2:X12)</f>
        <v>4.4157779260003027E-2</v>
      </c>
      <c r="AF12">
        <f>SUM(Y$2:Y12)</f>
        <v>2.5709184226299302E-2</v>
      </c>
      <c r="AG12">
        <f>SUM(Z$2:Z12)</f>
        <v>5.2472119185073066E-2</v>
      </c>
    </row>
    <row r="13" spans="1:33" x14ac:dyDescent="0.35">
      <c r="A13" s="2">
        <v>43678</v>
      </c>
      <c r="B13">
        <v>4.5625757883556712</v>
      </c>
      <c r="C13">
        <v>4.616121195680992</v>
      </c>
      <c r="D13">
        <v>4.6254098150741303</v>
      </c>
      <c r="E13">
        <v>4.5619468206197</v>
      </c>
      <c r="F13">
        <v>4.5786276254107356</v>
      </c>
      <c r="G13">
        <v>4.5500359726006847</v>
      </c>
      <c r="H13">
        <v>4.5877825489847588</v>
      </c>
      <c r="I13">
        <v>4.5610680685036904</v>
      </c>
      <c r="J13">
        <v>4.5601164011965007</v>
      </c>
      <c r="L13" s="3">
        <f t="shared" si="1"/>
        <v>2.8671106456345141E-3</v>
      </c>
      <c r="M13" s="3">
        <f t="shared" si="2"/>
        <v>3.9481149136560267E-3</v>
      </c>
      <c r="N13" s="3">
        <f t="shared" si="0"/>
        <v>3.9560041289274809E-7</v>
      </c>
      <c r="O13" s="3">
        <f t="shared" si="0"/>
        <v>2.5766147284233892E-4</v>
      </c>
      <c r="P13" s="3">
        <f t="shared" si="0"/>
        <v>1.5724697916900834E-4</v>
      </c>
      <c r="Q13" s="3">
        <f t="shared" si="0"/>
        <v>6.3538078141211845E-4</v>
      </c>
      <c r="R13" s="3">
        <f t="shared" si="0"/>
        <v>2.2732191520571189E-6</v>
      </c>
      <c r="S13" s="3">
        <f t="shared" si="0"/>
        <v>6.0485851986926916E-6</v>
      </c>
      <c r="U13" s="3">
        <f t="shared" si="3"/>
        <v>2.8667150452216213E-3</v>
      </c>
      <c r="V13" s="3">
        <f t="shared" si="4"/>
        <v>3.6904534408136879E-3</v>
      </c>
      <c r="W13" s="3">
        <f t="shared" si="5"/>
        <v>2.7098636664655059E-3</v>
      </c>
      <c r="X13" s="3">
        <f t="shared" si="6"/>
        <v>3.312734132243908E-3</v>
      </c>
      <c r="Y13" s="3">
        <f t="shared" si="7"/>
        <v>2.8648374264824568E-3</v>
      </c>
      <c r="Z13" s="3">
        <f t="shared" si="8"/>
        <v>3.9420663284573344E-3</v>
      </c>
      <c r="AB13">
        <f>SUM(U$2:U13)</f>
        <v>2.9862008437514197E-2</v>
      </c>
      <c r="AC13">
        <f>SUM(V$2:V13)</f>
        <v>5.834169286244946E-2</v>
      </c>
      <c r="AD13">
        <f>SUM(W$2:W13)</f>
        <v>1.6540071895420914E-2</v>
      </c>
      <c r="AE13">
        <f>SUM(X$2:X13)</f>
        <v>4.7470513392246935E-2</v>
      </c>
      <c r="AF13">
        <f>SUM(Y$2:Y13)</f>
        <v>2.8574021652781757E-2</v>
      </c>
      <c r="AG13">
        <f>SUM(Z$2:Z13)</f>
        <v>5.6414185513530397E-2</v>
      </c>
    </row>
    <row r="14" spans="1:33" x14ac:dyDescent="0.35">
      <c r="A14" s="2">
        <v>43709</v>
      </c>
      <c r="B14">
        <v>4.5300155123873314</v>
      </c>
      <c r="C14">
        <v>4.5858158682405046</v>
      </c>
      <c r="D14">
        <v>4.6143818185749801</v>
      </c>
      <c r="E14">
        <v>4.5324016863410339</v>
      </c>
      <c r="F14">
        <v>4.5634908000009258</v>
      </c>
      <c r="G14">
        <v>4.5281961027799946</v>
      </c>
      <c r="H14">
        <v>4.5572704202066481</v>
      </c>
      <c r="I14">
        <v>4.5643232218437984</v>
      </c>
      <c r="J14">
        <v>4.5496125571380386</v>
      </c>
      <c r="L14" s="3">
        <f t="shared" si="1"/>
        <v>3.113679713340763E-3</v>
      </c>
      <c r="M14" s="3">
        <f t="shared" si="2"/>
        <v>7.1176736197480963E-3</v>
      </c>
      <c r="N14" s="3">
        <f t="shared" si="0"/>
        <v>5.6938261373284725E-6</v>
      </c>
      <c r="O14" s="3">
        <f t="shared" si="0"/>
        <v>1.1205948808128679E-3</v>
      </c>
      <c r="P14" s="3">
        <f t="shared" si="0"/>
        <v>3.310251319269196E-6</v>
      </c>
      <c r="Q14" s="3">
        <f t="shared" si="0"/>
        <v>7.4283000023945168E-4</v>
      </c>
      <c r="R14" s="3">
        <f t="shared" si="0"/>
        <v>1.1770189281493548E-3</v>
      </c>
      <c r="S14" s="3">
        <f t="shared" si="0"/>
        <v>3.8404416296122166E-4</v>
      </c>
      <c r="U14" s="3">
        <f t="shared" si="3"/>
        <v>3.1079858872034346E-3</v>
      </c>
      <c r="V14" s="3">
        <f t="shared" si="4"/>
        <v>5.9970787389352284E-3</v>
      </c>
      <c r="W14" s="3">
        <f t="shared" si="5"/>
        <v>3.110369462021494E-3</v>
      </c>
      <c r="X14" s="3">
        <f t="shared" si="6"/>
        <v>6.3748436195086447E-3</v>
      </c>
      <c r="Y14" s="3">
        <f t="shared" si="7"/>
        <v>1.9366607851914082E-3</v>
      </c>
      <c r="Z14" s="3">
        <f t="shared" si="8"/>
        <v>6.7336294567868745E-3</v>
      </c>
      <c r="AB14">
        <f>SUM(U$2:U14)</f>
        <v>3.296999432471763E-2</v>
      </c>
      <c r="AC14">
        <f>SUM(V$2:V14)</f>
        <v>6.4338771601384681E-2</v>
      </c>
      <c r="AD14">
        <f>SUM(W$2:W14)</f>
        <v>1.9650441357442407E-2</v>
      </c>
      <c r="AE14">
        <f>SUM(X$2:X14)</f>
        <v>5.3845357011755579E-2</v>
      </c>
      <c r="AF14">
        <f>SUM(Y$2:Y14)</f>
        <v>3.0510682437973165E-2</v>
      </c>
      <c r="AG14">
        <f>SUM(Z$2:Z14)</f>
        <v>6.3147814970317268E-2</v>
      </c>
    </row>
    <row r="15" spans="1:33" x14ac:dyDescent="0.35">
      <c r="A15" s="2">
        <v>43739</v>
      </c>
      <c r="B15">
        <v>4.5835378858609772</v>
      </c>
      <c r="C15">
        <v>4.5618302495905247</v>
      </c>
      <c r="D15">
        <v>4.6272373011481731</v>
      </c>
      <c r="E15">
        <v>4.5570453145011989</v>
      </c>
      <c r="F15">
        <v>4.6063474383049998</v>
      </c>
      <c r="G15">
        <v>4.5498434382972182</v>
      </c>
      <c r="H15">
        <v>4.5886943286553219</v>
      </c>
      <c r="I15">
        <v>4.5630537185509423</v>
      </c>
      <c r="J15">
        <v>4.5693750327041442</v>
      </c>
      <c r="L15" s="3">
        <f t="shared" si="1"/>
        <v>4.7122147245026356E-4</v>
      </c>
      <c r="M15" s="3">
        <f t="shared" si="2"/>
        <v>1.9096388964428106E-3</v>
      </c>
      <c r="N15" s="3">
        <f t="shared" si="0"/>
        <v>7.0185633725294752E-4</v>
      </c>
      <c r="O15" s="3">
        <f t="shared" si="0"/>
        <v>5.2027568269661772E-4</v>
      </c>
      <c r="P15" s="3">
        <f t="shared" si="0"/>
        <v>1.1353157966269086E-3</v>
      </c>
      <c r="Q15" s="3">
        <f t="shared" si="0"/>
        <v>2.6588902291349218E-5</v>
      </c>
      <c r="R15" s="3">
        <f t="shared" si="0"/>
        <v>4.1960111038550176E-4</v>
      </c>
      <c r="S15" s="3">
        <f t="shared" si="0"/>
        <v>2.0058640954201352E-4</v>
      </c>
      <c r="U15" s="3">
        <f t="shared" si="3"/>
        <v>-2.3063486480268396E-4</v>
      </c>
      <c r="V15" s="3">
        <f t="shared" si="4"/>
        <v>1.3893632137461929E-3</v>
      </c>
      <c r="W15" s="3">
        <f t="shared" si="5"/>
        <v>-6.64094324176645E-4</v>
      </c>
      <c r="X15" s="3">
        <f t="shared" si="6"/>
        <v>1.8830499941514614E-3</v>
      </c>
      <c r="Y15" s="3">
        <f t="shared" si="7"/>
        <v>5.1620362064761795E-5</v>
      </c>
      <c r="Z15" s="3">
        <f t="shared" si="8"/>
        <v>1.709052486900797E-3</v>
      </c>
      <c r="AB15">
        <f>SUM(U$2:U15)</f>
        <v>3.2739359459914949E-2</v>
      </c>
      <c r="AC15">
        <f>SUM(V$2:V15)</f>
        <v>6.5728134815130873E-2</v>
      </c>
      <c r="AD15">
        <f>SUM(W$2:W15)</f>
        <v>1.8986347033265762E-2</v>
      </c>
      <c r="AE15">
        <f>SUM(X$2:X15)</f>
        <v>5.5728407005907039E-2</v>
      </c>
      <c r="AF15">
        <f>SUM(Y$2:Y15)</f>
        <v>3.0562302800037928E-2</v>
      </c>
      <c r="AG15">
        <f>SUM(Z$2:Z15)</f>
        <v>6.4856867457218068E-2</v>
      </c>
    </row>
    <row r="16" spans="1:33" x14ac:dyDescent="0.35">
      <c r="A16" s="2">
        <v>43770</v>
      </c>
      <c r="B16">
        <v>4.5876170267405021</v>
      </c>
      <c r="C16">
        <v>4.6410094701570204</v>
      </c>
      <c r="D16">
        <v>4.6178469310008454</v>
      </c>
      <c r="E16">
        <v>4.6071730737450878</v>
      </c>
      <c r="F16">
        <v>4.6102303124620576</v>
      </c>
      <c r="G16">
        <v>4.5943422660669544</v>
      </c>
      <c r="H16">
        <v>4.6089692774740234</v>
      </c>
      <c r="I16">
        <v>4.5776330661117273</v>
      </c>
      <c r="J16">
        <v>4.5827290300684771</v>
      </c>
      <c r="L16" s="3">
        <f t="shared" si="1"/>
        <v>2.8507530139861058E-3</v>
      </c>
      <c r="M16" s="3">
        <f t="shared" si="2"/>
        <v>9.1384711158952394E-4</v>
      </c>
      <c r="N16" s="3">
        <f t="shared" si="0"/>
        <v>3.8243897444556479E-4</v>
      </c>
      <c r="O16" s="3">
        <f t="shared" si="0"/>
        <v>5.1136069112470682E-4</v>
      </c>
      <c r="P16" s="3">
        <f t="shared" si="0"/>
        <v>4.5228843998060637E-5</v>
      </c>
      <c r="Q16" s="3">
        <f t="shared" si="0"/>
        <v>4.5591861138716158E-4</v>
      </c>
      <c r="R16" s="3">
        <f t="shared" si="0"/>
        <v>9.9679469836925773E-5</v>
      </c>
      <c r="S16" s="3">
        <f t="shared" si="0"/>
        <v>2.3892511465727445E-5</v>
      </c>
      <c r="U16" s="3">
        <f t="shared" si="3"/>
        <v>2.4683140395405411E-3</v>
      </c>
      <c r="V16" s="3">
        <f t="shared" si="4"/>
        <v>4.0248642046481712E-4</v>
      </c>
      <c r="W16" s="3">
        <f t="shared" si="5"/>
        <v>2.8055241699880451E-3</v>
      </c>
      <c r="X16" s="3">
        <f t="shared" si="6"/>
        <v>4.5792850020236236E-4</v>
      </c>
      <c r="Y16" s="3">
        <f t="shared" si="7"/>
        <v>2.7510735441491799E-3</v>
      </c>
      <c r="Z16" s="3">
        <f t="shared" si="8"/>
        <v>8.8995460012379645E-4</v>
      </c>
      <c r="AB16">
        <f>SUM(U$2:U16)</f>
        <v>3.5207673499455493E-2</v>
      </c>
      <c r="AC16">
        <f>SUM(V$2:V16)</f>
        <v>6.6130621235595696E-2</v>
      </c>
      <c r="AD16">
        <f>SUM(W$2:W16)</f>
        <v>2.1791871203253807E-2</v>
      </c>
      <c r="AE16">
        <f>SUM(X$2:X16)</f>
        <v>5.6186335506109401E-2</v>
      </c>
      <c r="AF16">
        <f>SUM(Y$2:Y16)</f>
        <v>3.3313376344187108E-2</v>
      </c>
      <c r="AG16">
        <f>SUM(Z$2:Z16)</f>
        <v>6.5746822057341864E-2</v>
      </c>
    </row>
    <row r="17" spans="1:33" x14ac:dyDescent="0.35">
      <c r="A17" s="2">
        <v>43800</v>
      </c>
      <c r="B17">
        <v>4.5754323677241349</v>
      </c>
      <c r="C17">
        <v>4.6113006447046789</v>
      </c>
      <c r="D17">
        <v>4.6206590653357091</v>
      </c>
      <c r="E17">
        <v>4.6078042452651768</v>
      </c>
      <c r="F17">
        <v>4.6256253089372983</v>
      </c>
      <c r="G17">
        <v>4.628115750804608</v>
      </c>
      <c r="H17">
        <v>4.6276573760447564</v>
      </c>
      <c r="I17">
        <v>4.5818516534609097</v>
      </c>
      <c r="J17">
        <v>4.5836419000471764</v>
      </c>
      <c r="L17" s="3">
        <f t="shared" si="1"/>
        <v>1.2865332935530274E-3</v>
      </c>
      <c r="M17" s="3">
        <f t="shared" si="2"/>
        <v>2.0454541768487782E-3</v>
      </c>
      <c r="N17" s="3">
        <f t="shared" si="0"/>
        <v>1.0479384555322183E-3</v>
      </c>
      <c r="O17" s="3">
        <f t="shared" si="0"/>
        <v>2.5193313476280792E-3</v>
      </c>
      <c r="P17" s="3">
        <f t="shared" si="0"/>
        <v>2.7755388528038854E-3</v>
      </c>
      <c r="Q17" s="3">
        <f t="shared" si="0"/>
        <v>2.7274514940889838E-3</v>
      </c>
      <c r="R17" s="3">
        <f t="shared" si="0"/>
        <v>4.1207229370361158E-5</v>
      </c>
      <c r="S17" s="3">
        <f t="shared" si="0"/>
        <v>6.7396420963064107E-5</v>
      </c>
      <c r="U17" s="3">
        <f t="shared" si="3"/>
        <v>2.3859483802080917E-4</v>
      </c>
      <c r="V17" s="3">
        <f t="shared" si="4"/>
        <v>-4.7387717077930101E-4</v>
      </c>
      <c r="W17" s="3">
        <f t="shared" si="5"/>
        <v>-1.4890055592508579E-3</v>
      </c>
      <c r="X17" s="3">
        <f t="shared" si="6"/>
        <v>-6.8199731724020562E-4</v>
      </c>
      <c r="Y17" s="3">
        <f t="shared" si="7"/>
        <v>1.2453260641826663E-3</v>
      </c>
      <c r="Z17" s="3">
        <f t="shared" si="8"/>
        <v>1.9780577558857139E-3</v>
      </c>
      <c r="AB17">
        <f>SUM(U$2:U17)</f>
        <v>3.54462683374763E-2</v>
      </c>
      <c r="AC17">
        <f>SUM(V$2:V17)</f>
        <v>6.5656744064816391E-2</v>
      </c>
      <c r="AD17">
        <f>SUM(W$2:W17)</f>
        <v>2.0302865644002948E-2</v>
      </c>
      <c r="AE17">
        <f>SUM(X$2:X17)</f>
        <v>5.5504338188869198E-2</v>
      </c>
      <c r="AF17">
        <f>SUM(Y$2:Y17)</f>
        <v>3.4558702408369772E-2</v>
      </c>
      <c r="AG17">
        <f>SUM(Z$2:Z17)</f>
        <v>6.7724879813227584E-2</v>
      </c>
    </row>
    <row r="18" spans="1:33" x14ac:dyDescent="0.35">
      <c r="A18" s="2">
        <v>43831</v>
      </c>
      <c r="B18">
        <v>4.5736795188967214</v>
      </c>
      <c r="C18">
        <v>4.598470423745999</v>
      </c>
      <c r="D18">
        <v>4.5811191214896212</v>
      </c>
      <c r="E18">
        <v>4.5839976922212324</v>
      </c>
      <c r="F18">
        <v>4.6122439731306866</v>
      </c>
      <c r="G18">
        <v>4.6298756850618634</v>
      </c>
      <c r="H18">
        <v>4.6291046007663494</v>
      </c>
      <c r="I18">
        <v>4.5890194344041539</v>
      </c>
      <c r="J18">
        <v>4.5878110809758974</v>
      </c>
      <c r="L18" s="3">
        <f t="shared" si="1"/>
        <v>6.1458896324593539E-4</v>
      </c>
      <c r="M18" s="3">
        <f t="shared" si="2"/>
        <v>5.5347686740281046E-5</v>
      </c>
      <c r="N18" s="3">
        <f t="shared" ref="N18:N81" si="9">(E18-$B18)^2</f>
        <v>1.0646470075465069E-4</v>
      </c>
      <c r="O18" s="3">
        <f t="shared" ref="O18:O81" si="10">(F18-$B18)^2</f>
        <v>1.4872171303635926E-3</v>
      </c>
      <c r="P18" s="3">
        <f t="shared" ref="P18:P81" si="11">(G18-$B18)^2</f>
        <v>3.1580090916602508E-3</v>
      </c>
      <c r="Q18" s="3">
        <f t="shared" ref="Q18:Q81" si="12">(H18-$B18)^2</f>
        <v>3.0719397002549691E-3</v>
      </c>
      <c r="R18" s="3">
        <f t="shared" ref="R18:R81" si="13">(I18-$B18)^2</f>
        <v>2.3531300777516876E-4</v>
      </c>
      <c r="S18" s="3">
        <f t="shared" ref="S18:S81" si="14">(J18-$B18)^2</f>
        <v>1.9970104679760471E-4</v>
      </c>
      <c r="U18" s="3">
        <f t="shared" si="3"/>
        <v>5.0812426249128467E-4</v>
      </c>
      <c r="V18" s="3">
        <f t="shared" si="4"/>
        <v>-1.4318694436233116E-3</v>
      </c>
      <c r="W18" s="3">
        <f t="shared" si="5"/>
        <v>-2.5434201284143154E-3</v>
      </c>
      <c r="X18" s="3">
        <f t="shared" si="6"/>
        <v>-3.0165920135146879E-3</v>
      </c>
      <c r="Y18" s="3">
        <f t="shared" si="7"/>
        <v>3.7927595547076662E-4</v>
      </c>
      <c r="Z18" s="3">
        <f t="shared" si="8"/>
        <v>-1.4435336005732367E-4</v>
      </c>
      <c r="AB18">
        <f>SUM(U$2:U18)</f>
        <v>3.5954392599967584E-2</v>
      </c>
      <c r="AC18">
        <f>SUM(V$2:V18)</f>
        <v>6.4224874621193084E-2</v>
      </c>
      <c r="AD18">
        <f>SUM(W$2:W18)</f>
        <v>1.7759445515588633E-2</v>
      </c>
      <c r="AE18">
        <f>SUM(X$2:X18)</f>
        <v>5.248774617535451E-2</v>
      </c>
      <c r="AF18">
        <f>SUM(Y$2:Y18)</f>
        <v>3.4937978363840536E-2</v>
      </c>
      <c r="AG18">
        <f>SUM(Z$2:Z18)</f>
        <v>6.7580526453170267E-2</v>
      </c>
    </row>
    <row r="19" spans="1:33" x14ac:dyDescent="0.35">
      <c r="A19" s="2">
        <v>43862</v>
      </c>
      <c r="B19">
        <v>4.6166045636137536</v>
      </c>
      <c r="C19">
        <v>4.5887861446808866</v>
      </c>
      <c r="D19">
        <v>4.635858727137947</v>
      </c>
      <c r="E19">
        <v>4.6561213907712453</v>
      </c>
      <c r="F19">
        <v>4.6751024694679293</v>
      </c>
      <c r="G19">
        <v>4.6726869926943513</v>
      </c>
      <c r="H19">
        <v>4.6823788849181414</v>
      </c>
      <c r="I19">
        <v>4.6557694230196089</v>
      </c>
      <c r="J19">
        <v>4.6549178414617733</v>
      </c>
      <c r="L19" s="3">
        <f t="shared" si="1"/>
        <v>7.7386443192449105E-4</v>
      </c>
      <c r="M19" s="3">
        <f t="shared" si="2"/>
        <v>3.7072281301637968E-4</v>
      </c>
      <c r="N19" s="3">
        <f t="shared" si="9"/>
        <v>1.5615796285950751E-3</v>
      </c>
      <c r="O19" s="3">
        <f t="shared" si="10"/>
        <v>3.4220049893240027E-3</v>
      </c>
      <c r="P19" s="3">
        <f t="shared" si="11"/>
        <v>3.1452388515802688E-3</v>
      </c>
      <c r="Q19" s="3">
        <f t="shared" si="12"/>
        <v>4.3262613430528375E-3</v>
      </c>
      <c r="R19" s="3">
        <f t="shared" si="13"/>
        <v>1.5338862122804158E-3</v>
      </c>
      <c r="S19" s="3">
        <f t="shared" si="14"/>
        <v>1.4679072594595605E-3</v>
      </c>
      <c r="U19" s="3">
        <f t="shared" si="3"/>
        <v>-7.8771519667058404E-4</v>
      </c>
      <c r="V19" s="3">
        <f t="shared" si="4"/>
        <v>-3.0512821763076228E-3</v>
      </c>
      <c r="W19" s="3">
        <f t="shared" si="5"/>
        <v>-2.3713744196557779E-3</v>
      </c>
      <c r="X19" s="3">
        <f t="shared" si="6"/>
        <v>-3.9555385300364581E-3</v>
      </c>
      <c r="Y19" s="3">
        <f t="shared" si="7"/>
        <v>-7.6002178035592478E-4</v>
      </c>
      <c r="Z19" s="3">
        <f t="shared" si="8"/>
        <v>-1.0971844464431808E-3</v>
      </c>
      <c r="AB19">
        <f>SUM(U$2:U19)</f>
        <v>3.5166677403297E-2</v>
      </c>
      <c r="AC19">
        <f>SUM(V$2:V19)</f>
        <v>6.1173592444885461E-2</v>
      </c>
      <c r="AD19">
        <f>SUM(W$2:W19)</f>
        <v>1.5388071095932855E-2</v>
      </c>
      <c r="AE19">
        <f>SUM(X$2:X19)</f>
        <v>4.853220764531805E-2</v>
      </c>
      <c r="AF19">
        <f>SUM(Y$2:Y19)</f>
        <v>3.417795658348461E-2</v>
      </c>
      <c r="AG19">
        <f>SUM(Z$2:Z19)</f>
        <v>6.6483342006727092E-2</v>
      </c>
    </row>
    <row r="20" spans="1:33" x14ac:dyDescent="0.35">
      <c r="A20" s="2">
        <v>43891</v>
      </c>
      <c r="B20">
        <v>4.69537645387424</v>
      </c>
      <c r="C20">
        <v>4.647945460114923</v>
      </c>
      <c r="D20">
        <v>4.6828721265441864</v>
      </c>
      <c r="E20">
        <v>4.7816297435286073</v>
      </c>
      <c r="F20">
        <v>4.8177975229039101</v>
      </c>
      <c r="G20">
        <v>4.731239721528512</v>
      </c>
      <c r="H20">
        <v>4.7481159994050506</v>
      </c>
      <c r="I20">
        <v>4.746302579446664</v>
      </c>
      <c r="J20">
        <v>4.774015543902296</v>
      </c>
      <c r="L20" s="3">
        <f t="shared" si="1"/>
        <v>2.2496991689963607E-3</v>
      </c>
      <c r="M20" s="3">
        <f t="shared" si="2"/>
        <v>1.5635820197712483E-4</v>
      </c>
      <c r="N20" s="3">
        <f t="shared" si="9"/>
        <v>7.4396299762001837E-3</v>
      </c>
      <c r="O20" s="3">
        <f t="shared" si="10"/>
        <v>1.498691814236725E-2</v>
      </c>
      <c r="P20" s="3">
        <f t="shared" si="11"/>
        <v>1.2861739668419564E-3</v>
      </c>
      <c r="Q20" s="3">
        <f t="shared" si="12"/>
        <v>2.7814596627964462E-3</v>
      </c>
      <c r="R20" s="3">
        <f t="shared" si="13"/>
        <v>2.5934702658183019E-3</v>
      </c>
      <c r="S20" s="3">
        <f t="shared" si="14"/>
        <v>6.1841064804407002E-3</v>
      </c>
      <c r="U20" s="3">
        <f t="shared" si="3"/>
        <v>-5.1899308072038235E-3</v>
      </c>
      <c r="V20" s="3">
        <f t="shared" si="4"/>
        <v>-1.4830559940390125E-2</v>
      </c>
      <c r="W20" s="3">
        <f t="shared" si="5"/>
        <v>9.6352520215440434E-4</v>
      </c>
      <c r="X20" s="3">
        <f t="shared" si="6"/>
        <v>-2.6251014608193214E-3</v>
      </c>
      <c r="Y20" s="3">
        <f t="shared" si="7"/>
        <v>-3.4377109682194118E-4</v>
      </c>
      <c r="Z20" s="3">
        <f t="shared" si="8"/>
        <v>-6.0277482784635754E-3</v>
      </c>
      <c r="AB20">
        <f>SUM(U$2:U20)</f>
        <v>2.9976746596093177E-2</v>
      </c>
      <c r="AC20">
        <f>SUM(V$2:V20)</f>
        <v>4.6343032504495334E-2</v>
      </c>
      <c r="AD20">
        <f>SUM(W$2:W20)</f>
        <v>1.6351596298087259E-2</v>
      </c>
      <c r="AE20">
        <f>SUM(X$2:X20)</f>
        <v>4.5907106184498725E-2</v>
      </c>
      <c r="AF20">
        <f>SUM(Y$2:Y20)</f>
        <v>3.3834185486662671E-2</v>
      </c>
      <c r="AG20">
        <f>SUM(Z$2:Z20)</f>
        <v>6.0455593728263514E-2</v>
      </c>
    </row>
    <row r="21" spans="1:33" x14ac:dyDescent="0.35">
      <c r="A21" s="2">
        <v>43922</v>
      </c>
      <c r="B21">
        <v>4.5208098373700194</v>
      </c>
      <c r="C21">
        <v>4.6954982482912424</v>
      </c>
      <c r="D21">
        <v>4.6555029564745878</v>
      </c>
      <c r="E21">
        <v>4.5587021188010981</v>
      </c>
      <c r="F21">
        <v>4.7510619371235059</v>
      </c>
      <c r="G21">
        <v>4.6742602391856192</v>
      </c>
      <c r="H21">
        <v>4.6955734135157137</v>
      </c>
      <c r="I21">
        <v>4.7033948001012416</v>
      </c>
      <c r="J21">
        <v>4.7471813183569784</v>
      </c>
      <c r="L21" s="3">
        <f t="shared" si="1"/>
        <v>3.0516040910182063E-2</v>
      </c>
      <c r="M21" s="3">
        <f t="shared" si="2"/>
        <v>1.8142236334117445E-2</v>
      </c>
      <c r="N21" s="3">
        <f t="shared" si="9"/>
        <v>1.4358249920520716E-3</v>
      </c>
      <c r="O21" s="3">
        <f t="shared" si="10"/>
        <v>5.3016029440889491E-2</v>
      </c>
      <c r="P21" s="3">
        <f t="shared" si="11"/>
        <v>2.3547025817369026E-2</v>
      </c>
      <c r="Q21" s="3">
        <f t="shared" si="12"/>
        <v>3.0542307547231879E-2</v>
      </c>
      <c r="R21" s="3">
        <f t="shared" si="13"/>
        <v>3.3337268615561785E-2</v>
      </c>
      <c r="S21" s="3">
        <f t="shared" si="14"/>
        <v>5.1244047404229151E-2</v>
      </c>
      <c r="U21" s="3">
        <f t="shared" si="3"/>
        <v>2.9080215918129992E-2</v>
      </c>
      <c r="V21" s="3">
        <f t="shared" si="4"/>
        <v>-3.487379310677205E-2</v>
      </c>
      <c r="W21" s="3">
        <f t="shared" si="5"/>
        <v>6.969015092813037E-3</v>
      </c>
      <c r="X21" s="3">
        <f t="shared" si="6"/>
        <v>-1.2400071213114434E-2</v>
      </c>
      <c r="Y21" s="3">
        <f t="shared" si="7"/>
        <v>-2.8212277053797225E-3</v>
      </c>
      <c r="Z21" s="3">
        <f t="shared" si="8"/>
        <v>-3.3101811070111703E-2</v>
      </c>
      <c r="AB21">
        <f>SUM(U$2:U21)</f>
        <v>5.9056962514223169E-2</v>
      </c>
      <c r="AC21">
        <f>SUM(V$2:V21)</f>
        <v>1.1469239397723284E-2</v>
      </c>
      <c r="AD21">
        <f>SUM(W$2:W21)</f>
        <v>2.3320611390900296E-2</v>
      </c>
      <c r="AE21">
        <f>SUM(X$2:X21)</f>
        <v>3.350703497138429E-2</v>
      </c>
      <c r="AF21">
        <f>SUM(Y$2:Y21)</f>
        <v>3.1012957781282949E-2</v>
      </c>
      <c r="AG21">
        <f>SUM(Z$2:Z21)</f>
        <v>2.7353782658151811E-2</v>
      </c>
    </row>
    <row r="22" spans="1:33" x14ac:dyDescent="0.35">
      <c r="A22" s="2">
        <v>43952</v>
      </c>
      <c r="B22">
        <v>4.4475802654133201</v>
      </c>
      <c r="C22">
        <v>4.4757246047067403</v>
      </c>
      <c r="D22">
        <v>4.6543409369840996</v>
      </c>
      <c r="E22">
        <v>4.3502746766503346</v>
      </c>
      <c r="F22">
        <v>4.6446841692569176</v>
      </c>
      <c r="G22">
        <v>4.5136186125616051</v>
      </c>
      <c r="H22">
        <v>4.6334461358173211</v>
      </c>
      <c r="I22">
        <v>4.6289390546549631</v>
      </c>
      <c r="J22">
        <v>4.5750744138887809</v>
      </c>
      <c r="L22" s="3">
        <f t="shared" si="1"/>
        <v>7.9210383426315601E-4</v>
      </c>
      <c r="M22" s="3">
        <f t="shared" si="2"/>
        <v>4.2749975308399739E-2</v>
      </c>
      <c r="N22" s="3">
        <f t="shared" si="9"/>
        <v>9.4683776045112397E-3</v>
      </c>
      <c r="O22" s="3">
        <f t="shared" si="10"/>
        <v>3.8849948910386151E-2</v>
      </c>
      <c r="P22" s="3">
        <f t="shared" si="11"/>
        <v>4.3610632940774084E-3</v>
      </c>
      <c r="Q22" s="3">
        <f t="shared" si="12"/>
        <v>3.4546121781036908E-2</v>
      </c>
      <c r="R22" s="3">
        <f t="shared" si="13"/>
        <v>3.2891010435194705E-2</v>
      </c>
      <c r="S22" s="3">
        <f t="shared" si="14"/>
        <v>1.6254757895482846E-2</v>
      </c>
      <c r="U22" s="3">
        <f t="shared" si="3"/>
        <v>-8.676273770248084E-3</v>
      </c>
      <c r="V22" s="3">
        <f t="shared" si="4"/>
        <v>3.9000263980135882E-3</v>
      </c>
      <c r="W22" s="3">
        <f t="shared" si="5"/>
        <v>-3.5689594598142522E-3</v>
      </c>
      <c r="X22" s="3">
        <f t="shared" si="6"/>
        <v>8.203853527362831E-3</v>
      </c>
      <c r="Y22" s="3">
        <f t="shared" si="7"/>
        <v>-3.2098906600931551E-2</v>
      </c>
      <c r="Z22" s="3">
        <f t="shared" si="8"/>
        <v>2.6495217412916893E-2</v>
      </c>
      <c r="AB22">
        <f>SUM(U$2:U22)</f>
        <v>5.0380688743975083E-2</v>
      </c>
      <c r="AC22">
        <f>SUM(V$2:V22)</f>
        <v>1.5369265795736872E-2</v>
      </c>
      <c r="AD22">
        <f>SUM(W$2:W22)</f>
        <v>1.9751651931086044E-2</v>
      </c>
      <c r="AE22">
        <f>SUM(X$2:X22)</f>
        <v>4.1710888498747122E-2</v>
      </c>
      <c r="AF22">
        <f>SUM(Y$2:Y22)</f>
        <v>-1.0859488196486022E-3</v>
      </c>
      <c r="AG22">
        <f>SUM(Z$2:Z22)</f>
        <v>5.3849000071068701E-2</v>
      </c>
    </row>
    <row r="23" spans="1:33" x14ac:dyDescent="0.35">
      <c r="A23" s="2">
        <v>43983</v>
      </c>
      <c r="B23">
        <v>4.4558577828010826</v>
      </c>
      <c r="C23">
        <v>4.5514636846758609</v>
      </c>
      <c r="D23">
        <v>4.6453065182397557</v>
      </c>
      <c r="E23">
        <v>4.4394063031656144</v>
      </c>
      <c r="F23">
        <v>4.5870225708580907</v>
      </c>
      <c r="G23">
        <v>4.5070450585599851</v>
      </c>
      <c r="H23">
        <v>4.614850555110027</v>
      </c>
      <c r="I23">
        <v>4.5299445796896887</v>
      </c>
      <c r="J23">
        <v>4.5598972940181017</v>
      </c>
      <c r="L23" s="3">
        <f t="shared" si="1"/>
        <v>9.1404884732897464E-3</v>
      </c>
      <c r="M23" s="3">
        <f t="shared" si="2"/>
        <v>3.5890823359312367E-2</v>
      </c>
      <c r="N23" s="3">
        <f t="shared" si="9"/>
        <v>2.7065118219622573E-4</v>
      </c>
      <c r="O23" s="3">
        <f t="shared" si="10"/>
        <v>1.7204201626039868E-2</v>
      </c>
      <c r="P23" s="3">
        <f t="shared" si="11"/>
        <v>2.6201371996179249E-3</v>
      </c>
      <c r="Q23" s="3">
        <f t="shared" si="12"/>
        <v>2.5278701646483829E-2</v>
      </c>
      <c r="R23" s="3">
        <f t="shared" si="13"/>
        <v>5.4888534732135726E-3</v>
      </c>
      <c r="S23" s="3">
        <f t="shared" si="14"/>
        <v>1.0824219894276255E-2</v>
      </c>
      <c r="U23" s="3">
        <f t="shared" si="3"/>
        <v>8.869837291093521E-3</v>
      </c>
      <c r="V23" s="3">
        <f t="shared" si="4"/>
        <v>1.8686621733272499E-2</v>
      </c>
      <c r="W23" s="3">
        <f t="shared" si="5"/>
        <v>6.5203512736718219E-3</v>
      </c>
      <c r="X23" s="3">
        <f t="shared" si="6"/>
        <v>1.0612121712828538E-2</v>
      </c>
      <c r="Y23" s="3">
        <f t="shared" si="7"/>
        <v>3.6516350000761737E-3</v>
      </c>
      <c r="Z23" s="3">
        <f t="shared" si="8"/>
        <v>2.5066603465036114E-2</v>
      </c>
      <c r="AB23">
        <f>SUM(U$2:U23)</f>
        <v>5.9250526035068606E-2</v>
      </c>
      <c r="AC23">
        <f>SUM(V$2:V23)</f>
        <v>3.4055887529009371E-2</v>
      </c>
      <c r="AD23">
        <f>SUM(W$2:W23)</f>
        <v>2.6272003204757866E-2</v>
      </c>
      <c r="AE23">
        <f>SUM(X$2:X23)</f>
        <v>5.2323010211575663E-2</v>
      </c>
      <c r="AF23">
        <f>SUM(Y$2:Y23)</f>
        <v>2.5656861804275715E-3</v>
      </c>
      <c r="AG23">
        <f>SUM(Z$2:Z23)</f>
        <v>7.8915603536104814E-2</v>
      </c>
    </row>
    <row r="24" spans="1:33" x14ac:dyDescent="0.35">
      <c r="A24" s="2">
        <v>44013</v>
      </c>
      <c r="B24">
        <v>4.5008091706633486</v>
      </c>
      <c r="C24">
        <v>4.5131189637621798</v>
      </c>
      <c r="D24">
        <v>4.6449296145262551</v>
      </c>
      <c r="E24">
        <v>4.4389144603422519</v>
      </c>
      <c r="F24">
        <v>4.6028035118962292</v>
      </c>
      <c r="G24">
        <v>4.5423423520145878</v>
      </c>
      <c r="H24">
        <v>4.5973093302624912</v>
      </c>
      <c r="I24">
        <v>4.5153734762109936</v>
      </c>
      <c r="J24">
        <v>4.5779542136969571</v>
      </c>
      <c r="L24" s="3">
        <f t="shared" si="1"/>
        <v>1.515310061360317E-4</v>
      </c>
      <c r="M24" s="3">
        <f t="shared" si="2"/>
        <v>2.0770702339241172E-2</v>
      </c>
      <c r="N24" s="3">
        <f t="shared" si="9"/>
        <v>3.8309551657324773E-3</v>
      </c>
      <c r="O24" s="3">
        <f t="shared" si="10"/>
        <v>1.0402845643529274E-2</v>
      </c>
      <c r="P24" s="3">
        <f t="shared" si="11"/>
        <v>1.7250051531549218E-3</v>
      </c>
      <c r="Q24" s="3">
        <f t="shared" si="12"/>
        <v>9.3122808026599932E-3</v>
      </c>
      <c r="R24" s="3">
        <f t="shared" si="13"/>
        <v>2.1211899608516248E-4</v>
      </c>
      <c r="S24" s="3">
        <f t="shared" si="14"/>
        <v>5.9513576646573032E-3</v>
      </c>
      <c r="U24" s="3">
        <f t="shared" si="3"/>
        <v>-3.6794241595964456E-3</v>
      </c>
      <c r="V24" s="3">
        <f t="shared" si="4"/>
        <v>1.0367856695711898E-2</v>
      </c>
      <c r="W24" s="3">
        <f t="shared" si="5"/>
        <v>-1.5734741470188902E-3</v>
      </c>
      <c r="X24" s="3">
        <f t="shared" si="6"/>
        <v>1.1458421536581179E-2</v>
      </c>
      <c r="Y24" s="3">
        <f t="shared" si="7"/>
        <v>-6.0587989949130775E-5</v>
      </c>
      <c r="Z24" s="3">
        <f t="shared" si="8"/>
        <v>1.481934467458387E-2</v>
      </c>
      <c r="AB24">
        <f>SUM(U$2:U24)</f>
        <v>5.5571101875472158E-2</v>
      </c>
      <c r="AC24">
        <f>SUM(V$2:V24)</f>
        <v>4.442374422472127E-2</v>
      </c>
      <c r="AD24">
        <f>SUM(W$2:W24)</f>
        <v>2.4698529057738977E-2</v>
      </c>
      <c r="AE24">
        <f>SUM(X$2:X24)</f>
        <v>6.3781431748156842E-2</v>
      </c>
      <c r="AF24">
        <f>SUM(Y$2:Y24)</f>
        <v>2.5050981904784406E-3</v>
      </c>
      <c r="AG24">
        <f>SUM(Z$2:Z24)</f>
        <v>9.3734948210688687E-2</v>
      </c>
    </row>
    <row r="25" spans="1:33" x14ac:dyDescent="0.35">
      <c r="A25" s="2">
        <v>44044</v>
      </c>
      <c r="B25">
        <v>4.5092097948421799</v>
      </c>
      <c r="C25">
        <v>4.5707577162541773</v>
      </c>
      <c r="D25">
        <v>4.6345283747165276</v>
      </c>
      <c r="E25">
        <v>4.5476248682355616</v>
      </c>
      <c r="F25">
        <v>4.5947603509435506</v>
      </c>
      <c r="G25">
        <v>4.504522759672728</v>
      </c>
      <c r="H25">
        <v>4.5894325041923061</v>
      </c>
      <c r="I25">
        <v>4.5174678043716936</v>
      </c>
      <c r="J25">
        <v>4.5649383307334066</v>
      </c>
      <c r="L25" s="3">
        <f t="shared" si="1"/>
        <v>3.7881466301374063E-3</v>
      </c>
      <c r="M25" s="3">
        <f t="shared" si="2"/>
        <v>1.5704746461723262E-2</v>
      </c>
      <c r="N25" s="3">
        <f t="shared" si="9"/>
        <v>1.4757178638189013E-3</v>
      </c>
      <c r="O25" s="3">
        <f t="shared" si="10"/>
        <v>7.3188976492537831E-3</v>
      </c>
      <c r="P25" s="3">
        <f t="shared" si="11"/>
        <v>2.1968298679679029E-5</v>
      </c>
      <c r="Q25" s="3">
        <f t="shared" si="12"/>
        <v>6.435683095474827E-3</v>
      </c>
      <c r="R25" s="3">
        <f t="shared" si="13"/>
        <v>6.8194721389539431E-5</v>
      </c>
      <c r="S25" s="3">
        <f t="shared" si="14"/>
        <v>3.1056697125797453E-3</v>
      </c>
      <c r="U25" s="3">
        <f t="shared" si="3"/>
        <v>2.3124287663185052E-3</v>
      </c>
      <c r="V25" s="3">
        <f t="shared" si="4"/>
        <v>8.3858488124694784E-3</v>
      </c>
      <c r="W25" s="3">
        <f t="shared" si="5"/>
        <v>3.7661783314577274E-3</v>
      </c>
      <c r="X25" s="3">
        <f t="shared" si="6"/>
        <v>9.2690633662484354E-3</v>
      </c>
      <c r="Y25" s="3">
        <f t="shared" si="7"/>
        <v>3.7199519087478669E-3</v>
      </c>
      <c r="Z25" s="3">
        <f t="shared" si="8"/>
        <v>1.2599076749143517E-2</v>
      </c>
      <c r="AB25">
        <f>SUM(U$2:U25)</f>
        <v>5.7883530641790665E-2</v>
      </c>
      <c r="AC25">
        <f>SUM(V$2:V25)</f>
        <v>5.2809593037190752E-2</v>
      </c>
      <c r="AD25">
        <f>SUM(W$2:W25)</f>
        <v>2.8464707389196705E-2</v>
      </c>
      <c r="AE25">
        <f>SUM(X$2:X25)</f>
        <v>7.3050495114405284E-2</v>
      </c>
      <c r="AF25">
        <f>SUM(Y$2:Y25)</f>
        <v>6.2250500992263071E-3</v>
      </c>
      <c r="AG25">
        <f>SUM(Z$2:Z25)</f>
        <v>0.1063340249598322</v>
      </c>
    </row>
    <row r="26" spans="1:33" x14ac:dyDescent="0.35">
      <c r="A26" s="2">
        <v>44075</v>
      </c>
      <c r="B26">
        <v>4.514150787600923</v>
      </c>
      <c r="C26">
        <v>4.5042393809594667</v>
      </c>
      <c r="D26">
        <v>4.6290487826146451</v>
      </c>
      <c r="E26">
        <v>4.4779754379696062</v>
      </c>
      <c r="F26">
        <v>4.5685651645641503</v>
      </c>
      <c r="G26">
        <v>4.5117906226132556</v>
      </c>
      <c r="H26">
        <v>4.5730301641790643</v>
      </c>
      <c r="I26">
        <v>4.518909031958807</v>
      </c>
      <c r="J26">
        <v>4.5658743085726758</v>
      </c>
      <c r="L26" s="3">
        <f t="shared" si="1"/>
        <v>9.8235981612303821E-5</v>
      </c>
      <c r="M26" s="3">
        <f t="shared" si="2"/>
        <v>1.3201549258173311E-2</v>
      </c>
      <c r="N26" s="3">
        <f t="shared" si="9"/>
        <v>1.3086559209480166E-3</v>
      </c>
      <c r="O26" s="3">
        <f t="shared" si="10"/>
        <v>2.9609244202961978E-3</v>
      </c>
      <c r="P26" s="3">
        <f t="shared" si="11"/>
        <v>5.5703787690112745E-6</v>
      </c>
      <c r="Q26" s="3">
        <f t="shared" si="12"/>
        <v>3.4667809862305673E-3</v>
      </c>
      <c r="R26" s="3">
        <f t="shared" si="13"/>
        <v>2.2640889369334607E-5</v>
      </c>
      <c r="S26" s="3">
        <f t="shared" si="14"/>
        <v>2.6753226217153532E-3</v>
      </c>
      <c r="U26" s="3">
        <f t="shared" si="3"/>
        <v>-1.2104199393357129E-3</v>
      </c>
      <c r="V26" s="3">
        <f t="shared" si="4"/>
        <v>1.0240624837877113E-2</v>
      </c>
      <c r="W26" s="3">
        <f t="shared" si="5"/>
        <v>9.2665602843292546E-5</v>
      </c>
      <c r="X26" s="3">
        <f t="shared" si="6"/>
        <v>9.7347682719427439E-3</v>
      </c>
      <c r="Y26" s="3">
        <f t="shared" si="7"/>
        <v>7.5595092242969214E-5</v>
      </c>
      <c r="Z26" s="3">
        <f t="shared" si="8"/>
        <v>1.0526226636457957E-2</v>
      </c>
      <c r="AB26">
        <f>SUM(U$2:U26)</f>
        <v>5.6673110702454954E-2</v>
      </c>
      <c r="AC26">
        <f>SUM(V$2:V26)</f>
        <v>6.3050217875067871E-2</v>
      </c>
      <c r="AD26">
        <f>SUM(W$2:W26)</f>
        <v>2.8557372992039996E-2</v>
      </c>
      <c r="AE26">
        <f>SUM(X$2:X26)</f>
        <v>8.2785263386348035E-2</v>
      </c>
      <c r="AF26">
        <f>SUM(Y$2:Y26)</f>
        <v>6.3006451914692759E-3</v>
      </c>
      <c r="AG26">
        <f>SUM(Z$2:Z26)</f>
        <v>0.11686025159629015</v>
      </c>
    </row>
    <row r="27" spans="1:33" x14ac:dyDescent="0.35">
      <c r="A27" s="2">
        <v>44105</v>
      </c>
      <c r="B27">
        <v>4.562888793731485</v>
      </c>
      <c r="C27">
        <v>4.5603321393044514</v>
      </c>
      <c r="D27">
        <v>4.6322380578686531</v>
      </c>
      <c r="E27">
        <v>4.5647810054412226</v>
      </c>
      <c r="F27">
        <v>4.6236068093814593</v>
      </c>
      <c r="G27">
        <v>4.5540269269698559</v>
      </c>
      <c r="H27">
        <v>4.5876409368266708</v>
      </c>
      <c r="I27">
        <v>4.5308960166103009</v>
      </c>
      <c r="J27">
        <v>4.5683840952065466</v>
      </c>
      <c r="L27" s="3">
        <f t="shared" si="1"/>
        <v>6.5364818592709027E-6</v>
      </c>
      <c r="M27" s="3">
        <f t="shared" si="2"/>
        <v>4.8093204363666986E-3</v>
      </c>
      <c r="N27" s="3">
        <f t="shared" si="9"/>
        <v>3.5804651544678018E-6</v>
      </c>
      <c r="O27" s="3">
        <f t="shared" si="10"/>
        <v>3.6866774244705184E-3</v>
      </c>
      <c r="P27" s="3">
        <f t="shared" si="11"/>
        <v>7.8532682500867426E-5</v>
      </c>
      <c r="Q27" s="3">
        <f t="shared" si="12"/>
        <v>6.1266858780455451E-4</v>
      </c>
      <c r="R27" s="3">
        <f t="shared" si="13"/>
        <v>1.0235377879257602E-3</v>
      </c>
      <c r="S27" s="3">
        <f t="shared" si="14"/>
        <v>3.0198338301814298E-5</v>
      </c>
      <c r="U27" s="3">
        <f t="shared" si="3"/>
        <v>2.9560167048031009E-6</v>
      </c>
      <c r="V27" s="3">
        <f t="shared" si="4"/>
        <v>1.1226430118961802E-3</v>
      </c>
      <c r="W27" s="3">
        <f t="shared" si="5"/>
        <v>-7.1996200641596524E-5</v>
      </c>
      <c r="X27" s="3">
        <f t="shared" si="6"/>
        <v>4.1966518485621442E-3</v>
      </c>
      <c r="Y27" s="3">
        <f t="shared" si="7"/>
        <v>-1.0170013060664892E-3</v>
      </c>
      <c r="Z27" s="3">
        <f t="shared" si="8"/>
        <v>4.7791220980648846E-3</v>
      </c>
      <c r="AB27">
        <f>SUM(U$2:U27)</f>
        <v>5.6676066719159757E-2</v>
      </c>
      <c r="AC27">
        <f>SUM(V$2:V27)</f>
        <v>6.4172860886964056E-2</v>
      </c>
      <c r="AD27">
        <f>SUM(W$2:W27)</f>
        <v>2.8485376791398401E-2</v>
      </c>
      <c r="AE27">
        <f>SUM(X$2:X27)</f>
        <v>8.6981915234910182E-2</v>
      </c>
      <c r="AF27">
        <f>SUM(Y$2:Y27)</f>
        <v>5.2836438854027869E-3</v>
      </c>
      <c r="AG27">
        <f>SUM(Z$2:Z27)</f>
        <v>0.12163937369435504</v>
      </c>
    </row>
    <row r="28" spans="1:33" x14ac:dyDescent="0.35">
      <c r="A28" s="2">
        <v>44136</v>
      </c>
      <c r="B28">
        <v>4.5711996664169376</v>
      </c>
      <c r="C28">
        <v>4.5659383108462608</v>
      </c>
      <c r="D28">
        <v>4.6277010912661902</v>
      </c>
      <c r="E28">
        <v>4.5930480472490123</v>
      </c>
      <c r="F28">
        <v>4.6273711438866938</v>
      </c>
      <c r="G28">
        <v>4.5746746138683552</v>
      </c>
      <c r="H28">
        <v>4.61499514253806</v>
      </c>
      <c r="I28">
        <v>4.5671161032612746</v>
      </c>
      <c r="J28">
        <v>4.580450444064331</v>
      </c>
      <c r="L28" s="3">
        <f t="shared" si="1"/>
        <v>2.7681862441092451E-5</v>
      </c>
      <c r="M28" s="3">
        <f t="shared" si="2"/>
        <v>3.1924110099957369E-3</v>
      </c>
      <c r="N28" s="3">
        <f t="shared" si="9"/>
        <v>4.7735174498336617E-4</v>
      </c>
      <c r="O28" s="3">
        <f t="shared" si="10"/>
        <v>3.1552348811353225E-3</v>
      </c>
      <c r="P28" s="3">
        <f t="shared" si="11"/>
        <v>1.2075259790113122E-5</v>
      </c>
      <c r="Q28" s="3">
        <f t="shared" si="12"/>
        <v>1.9180437286757965E-3</v>
      </c>
      <c r="R28" s="3">
        <f t="shared" si="13"/>
        <v>1.6675488046288769E-5</v>
      </c>
      <c r="S28" s="3">
        <f t="shared" si="14"/>
        <v>8.5576887081512422E-5</v>
      </c>
      <c r="U28" s="3">
        <f t="shared" si="3"/>
        <v>-4.4966988254227372E-4</v>
      </c>
      <c r="V28" s="3">
        <f t="shared" si="4"/>
        <v>3.7176128860414402E-5</v>
      </c>
      <c r="W28" s="3">
        <f t="shared" si="5"/>
        <v>1.5606602650979331E-5</v>
      </c>
      <c r="X28" s="3">
        <f t="shared" si="6"/>
        <v>1.2743672813199404E-3</v>
      </c>
      <c r="Y28" s="3">
        <f t="shared" si="7"/>
        <v>1.1006374394803682E-5</v>
      </c>
      <c r="Z28" s="3">
        <f t="shared" si="8"/>
        <v>3.1068341229142245E-3</v>
      </c>
      <c r="AB28">
        <f>SUM(U$2:U28)</f>
        <v>5.6226396836617482E-2</v>
      </c>
      <c r="AC28">
        <f>SUM(V$2:V28)</f>
        <v>6.4210037015824464E-2</v>
      </c>
      <c r="AD28">
        <f>SUM(W$2:W28)</f>
        <v>2.850098339404938E-2</v>
      </c>
      <c r="AE28">
        <f>SUM(X$2:X28)</f>
        <v>8.825628251623012E-2</v>
      </c>
      <c r="AF28">
        <f>SUM(Y$2:Y28)</f>
        <v>5.2946502597975903E-3</v>
      </c>
      <c r="AG28">
        <f>SUM(Z$2:Z28)</f>
        <v>0.12474620781726926</v>
      </c>
    </row>
    <row r="29" spans="1:33" x14ac:dyDescent="0.35">
      <c r="A29" s="2">
        <v>44166</v>
      </c>
      <c r="B29">
        <v>4.5764620218513477</v>
      </c>
      <c r="C29">
        <v>4.5397413156714634</v>
      </c>
      <c r="D29">
        <v>4.626809439569338</v>
      </c>
      <c r="E29">
        <v>4.5951129262654016</v>
      </c>
      <c r="F29">
        <v>4.6359867518228617</v>
      </c>
      <c r="G29">
        <v>4.5794755133065639</v>
      </c>
      <c r="H29">
        <v>4.6477394880845164</v>
      </c>
      <c r="I29">
        <v>4.5681380522902257</v>
      </c>
      <c r="J29">
        <v>4.5828024202795667</v>
      </c>
      <c r="L29" s="3">
        <f t="shared" si="1"/>
        <v>1.3484102623493865E-3</v>
      </c>
      <c r="M29" s="3">
        <f t="shared" si="2"/>
        <v>2.5348624708698077E-3</v>
      </c>
      <c r="N29" s="3">
        <f t="shared" si="9"/>
        <v>3.4785623546217624E-4</v>
      </c>
      <c r="O29" s="3">
        <f t="shared" si="10"/>
        <v>3.543193478181661E-3</v>
      </c>
      <c r="P29" s="3">
        <f t="shared" si="11"/>
        <v>9.0811307506612491E-6</v>
      </c>
      <c r="Q29" s="3">
        <f t="shared" si="12"/>
        <v>5.0804771926205149E-3</v>
      </c>
      <c r="R29" s="3">
        <f t="shared" si="13"/>
        <v>6.9288469254484138E-5</v>
      </c>
      <c r="S29" s="3">
        <f t="shared" si="14"/>
        <v>4.0200652228563186E-5</v>
      </c>
      <c r="U29" s="3">
        <f t="shared" si="3"/>
        <v>1.0005540268872102E-3</v>
      </c>
      <c r="V29" s="3">
        <f t="shared" si="4"/>
        <v>-1.0083310073118533E-3</v>
      </c>
      <c r="W29" s="3">
        <f t="shared" si="5"/>
        <v>1.3393291315987254E-3</v>
      </c>
      <c r="X29" s="3">
        <f t="shared" si="6"/>
        <v>-2.5456147217507072E-3</v>
      </c>
      <c r="Y29" s="3">
        <f t="shared" si="7"/>
        <v>1.2791217930949025E-3</v>
      </c>
      <c r="Z29" s="3">
        <f t="shared" si="8"/>
        <v>2.4946618186412447E-3</v>
      </c>
      <c r="AB29">
        <f>SUM(U$2:U29)</f>
        <v>5.722695086350469E-2</v>
      </c>
      <c r="AC29">
        <f>SUM(V$2:V29)</f>
        <v>6.3201706008512618E-2</v>
      </c>
      <c r="AD29">
        <f>SUM(W$2:W29)</f>
        <v>2.9840312525648106E-2</v>
      </c>
      <c r="AE29">
        <f>SUM(X$2:X29)</f>
        <v>8.5710667794479417E-2</v>
      </c>
      <c r="AF29">
        <f>SUM(Y$2:Y29)</f>
        <v>6.5737720528924928E-3</v>
      </c>
      <c r="AG29">
        <f>SUM(Z$2:Z29)</f>
        <v>0.1272408696359105</v>
      </c>
    </row>
    <row r="30" spans="1:33" x14ac:dyDescent="0.35">
      <c r="A30" s="2">
        <v>44197</v>
      </c>
      <c r="B30">
        <v>4.5612182984589076</v>
      </c>
      <c r="C30">
        <v>4.5604394659116858</v>
      </c>
      <c r="D30">
        <v>4.5734799974839699</v>
      </c>
      <c r="E30">
        <v>4.5801519717032368</v>
      </c>
      <c r="F30">
        <v>4.6279300236085401</v>
      </c>
      <c r="G30">
        <v>4.5997078723968086</v>
      </c>
      <c r="H30">
        <v>4.6490434763559714</v>
      </c>
      <c r="I30">
        <v>4.5853713406514576</v>
      </c>
      <c r="J30">
        <v>4.5831261052685779</v>
      </c>
      <c r="L30" s="3">
        <f t="shared" si="1"/>
        <v>6.0658013661195832E-7</v>
      </c>
      <c r="M30" s="3">
        <f t="shared" si="2"/>
        <v>1.5034926298121513E-4</v>
      </c>
      <c r="N30" s="3">
        <f t="shared" si="9"/>
        <v>3.5848398252302983E-4</v>
      </c>
      <c r="O30" s="3">
        <f t="shared" si="10"/>
        <v>4.4504542724401134E-3</v>
      </c>
      <c r="P30" s="3">
        <f t="shared" si="11"/>
        <v>1.4814473019211462E-3</v>
      </c>
      <c r="Q30" s="3">
        <f t="shared" si="12"/>
        <v>7.713261872650902E-3</v>
      </c>
      <c r="R30" s="3">
        <f t="shared" si="13"/>
        <v>5.8336944715509998E-4</v>
      </c>
      <c r="S30" s="3">
        <f t="shared" si="14"/>
        <v>4.7995199920983656E-4</v>
      </c>
      <c r="U30" s="3">
        <f t="shared" si="3"/>
        <v>-3.5787740238641785E-4</v>
      </c>
      <c r="V30" s="3">
        <f t="shared" si="4"/>
        <v>-4.3001050094588983E-3</v>
      </c>
      <c r="W30" s="3">
        <f t="shared" si="5"/>
        <v>-1.4808407217845342E-3</v>
      </c>
      <c r="X30" s="3">
        <f t="shared" si="6"/>
        <v>-7.5629126096696869E-3</v>
      </c>
      <c r="Y30" s="3">
        <f t="shared" si="7"/>
        <v>-5.8276286701848805E-4</v>
      </c>
      <c r="Z30" s="3">
        <f t="shared" si="8"/>
        <v>-3.2960273622862144E-4</v>
      </c>
      <c r="AB30">
        <f>SUM(U$2:U30)</f>
        <v>5.6869073461118275E-2</v>
      </c>
      <c r="AC30">
        <f>SUM(V$2:V30)</f>
        <v>5.890160099905372E-2</v>
      </c>
      <c r="AD30">
        <f>SUM(W$2:W30)</f>
        <v>2.835947180386357E-2</v>
      </c>
      <c r="AE30">
        <f>SUM(X$2:X30)</f>
        <v>7.8147755184809736E-2</v>
      </c>
      <c r="AF30">
        <f>SUM(Y$2:Y30)</f>
        <v>5.9910091858740048E-3</v>
      </c>
      <c r="AG30">
        <f>SUM(Z$2:Z30)</f>
        <v>0.12691126689968188</v>
      </c>
    </row>
    <row r="31" spans="1:33" x14ac:dyDescent="0.35">
      <c r="A31" s="2">
        <v>44228</v>
      </c>
      <c r="B31">
        <v>4.6734828261701784</v>
      </c>
      <c r="C31">
        <v>4.5137081150150626</v>
      </c>
      <c r="D31">
        <v>4.628519340834095</v>
      </c>
      <c r="E31">
        <v>4.6379652486080714</v>
      </c>
      <c r="F31">
        <v>4.6991848074100497</v>
      </c>
      <c r="G31">
        <v>4.6539090700412542</v>
      </c>
      <c r="H31">
        <v>4.7021401625569919</v>
      </c>
      <c r="I31">
        <v>4.6041952789512743</v>
      </c>
      <c r="J31">
        <v>4.6456507774947999</v>
      </c>
      <c r="L31" s="3">
        <f t="shared" si="1"/>
        <v>2.5527958324700676E-2</v>
      </c>
      <c r="M31" s="3">
        <f t="shared" si="2"/>
        <v>2.0217150135681877E-3</v>
      </c>
      <c r="N31" s="3">
        <f t="shared" si="9"/>
        <v>1.2614983158802902E-3</v>
      </c>
      <c r="O31" s="3">
        <f t="shared" si="10"/>
        <v>6.6059183965469774E-4</v>
      </c>
      <c r="P31" s="3">
        <f t="shared" si="11"/>
        <v>3.8313192899459776E-4</v>
      </c>
      <c r="Q31" s="3">
        <f t="shared" si="12"/>
        <v>8.2124292878698203E-4</v>
      </c>
      <c r="R31" s="3">
        <f t="shared" si="13"/>
        <v>4.8007641996118608E-3</v>
      </c>
      <c r="S31" s="3">
        <f t="shared" si="14"/>
        <v>7.7462293346863668E-4</v>
      </c>
      <c r="U31" s="3">
        <f t="shared" si="3"/>
        <v>2.4266460008820386E-2</v>
      </c>
      <c r="V31" s="3">
        <f t="shared" si="4"/>
        <v>1.3611231739134901E-3</v>
      </c>
      <c r="W31" s="3">
        <f t="shared" si="5"/>
        <v>2.5144826395706078E-2</v>
      </c>
      <c r="X31" s="3">
        <f t="shared" si="6"/>
        <v>1.2004720847812057E-3</v>
      </c>
      <c r="Y31" s="3">
        <f t="shared" si="7"/>
        <v>2.0727194125088815E-2</v>
      </c>
      <c r="Z31" s="3">
        <f t="shared" si="8"/>
        <v>1.2470920800995511E-3</v>
      </c>
      <c r="AB31">
        <f>SUM(U$2:U31)</f>
        <v>8.1135533469938653E-2</v>
      </c>
      <c r="AC31">
        <f>SUM(V$2:V31)</f>
        <v>6.0262724172967214E-2</v>
      </c>
      <c r="AD31">
        <f>SUM(W$2:W31)</f>
        <v>5.3504298199569644E-2</v>
      </c>
      <c r="AE31">
        <f>SUM(X$2:X31)</f>
        <v>7.934822726959094E-2</v>
      </c>
      <c r="AF31">
        <f>SUM(Y$2:Y31)</f>
        <v>2.6718203310962821E-2</v>
      </c>
      <c r="AG31">
        <f>SUM(Z$2:Z31)</f>
        <v>0.12815835897978142</v>
      </c>
    </row>
    <row r="32" spans="1:33" x14ac:dyDescent="0.35">
      <c r="A32" s="2">
        <v>44256</v>
      </c>
      <c r="B32">
        <v>4.8299923276808574</v>
      </c>
      <c r="C32">
        <v>4.6785868969027433</v>
      </c>
      <c r="D32">
        <v>4.5956236435938251</v>
      </c>
      <c r="E32">
        <v>4.7983957388058984</v>
      </c>
      <c r="F32">
        <v>4.844016138612802</v>
      </c>
      <c r="G32">
        <v>4.726037285942196</v>
      </c>
      <c r="H32">
        <v>4.7789772073329599</v>
      </c>
      <c r="I32">
        <v>4.7383810545629332</v>
      </c>
      <c r="J32">
        <v>4.7422649301369457</v>
      </c>
      <c r="L32" s="3">
        <f t="shared" si="1"/>
        <v>2.2923604469106296E-2</v>
      </c>
      <c r="M32" s="3">
        <f t="shared" si="2"/>
        <v>5.4928680080687131E-2</v>
      </c>
      <c r="N32" s="3">
        <f t="shared" si="9"/>
        <v>9.9834442853318135E-4</v>
      </c>
      <c r="O32" s="3">
        <f t="shared" si="10"/>
        <v>1.9666727305492893E-4</v>
      </c>
      <c r="P32" s="3">
        <f t="shared" si="11"/>
        <v>1.0806650702886842E-2</v>
      </c>
      <c r="Q32" s="3">
        <f t="shared" si="12"/>
        <v>2.6025425041104611E-3</v>
      </c>
      <c r="R32" s="3">
        <f t="shared" si="13"/>
        <v>8.392625362286894E-3</v>
      </c>
      <c r="S32" s="3">
        <f t="shared" si="14"/>
        <v>7.6960962798275209E-3</v>
      </c>
      <c r="U32" s="3">
        <f t="shared" si="3"/>
        <v>2.1925260040573113E-2</v>
      </c>
      <c r="V32" s="3">
        <f t="shared" si="4"/>
        <v>5.4732012807632201E-2</v>
      </c>
      <c r="W32" s="3">
        <f t="shared" si="5"/>
        <v>1.2116953766219454E-2</v>
      </c>
      <c r="X32" s="3">
        <f t="shared" si="6"/>
        <v>5.232613757657667E-2</v>
      </c>
      <c r="Y32" s="3">
        <f t="shared" si="7"/>
        <v>1.4530979106819402E-2</v>
      </c>
      <c r="Z32" s="3">
        <f t="shared" si="8"/>
        <v>4.7232583800859609E-2</v>
      </c>
      <c r="AB32">
        <f>SUM(U$2:U32)</f>
        <v>0.10306079351051177</v>
      </c>
      <c r="AC32">
        <f>SUM(V$2:V32)</f>
        <v>0.11499473698059942</v>
      </c>
      <c r="AD32">
        <f>SUM(W$2:W32)</f>
        <v>6.5621251965789093E-2</v>
      </c>
      <c r="AE32">
        <f>SUM(X$2:X32)</f>
        <v>0.13167436484616762</v>
      </c>
      <c r="AF32">
        <f>SUM(Y$2:Y32)</f>
        <v>4.1249182417782221E-2</v>
      </c>
      <c r="AG32">
        <f>SUM(Z$2:Z32)</f>
        <v>0.17539094278064105</v>
      </c>
    </row>
    <row r="33" spans="1:33" x14ac:dyDescent="0.35">
      <c r="A33" s="2">
        <v>44287</v>
      </c>
      <c r="B33">
        <v>4.7584919509317407</v>
      </c>
      <c r="C33">
        <v>4.7773582717184198</v>
      </c>
      <c r="D33">
        <v>4.5848969586749391</v>
      </c>
      <c r="E33">
        <v>4.7213168921068833</v>
      </c>
      <c r="F33">
        <v>4.6625812818100432</v>
      </c>
      <c r="G33">
        <v>4.7134544162928318</v>
      </c>
      <c r="H33">
        <v>4.6503940430500883</v>
      </c>
      <c r="I33">
        <v>4.6557708283561414</v>
      </c>
      <c r="J33">
        <v>4.6422512389520776</v>
      </c>
      <c r="L33" s="3">
        <f t="shared" si="1"/>
        <v>3.5593806002587791E-4</v>
      </c>
      <c r="M33" s="3">
        <f t="shared" si="2"/>
        <v>3.0135221336639022E-2</v>
      </c>
      <c r="N33" s="3">
        <f t="shared" si="9"/>
        <v>1.381984998631607E-3</v>
      </c>
      <c r="O33" s="3">
        <f t="shared" si="10"/>
        <v>9.1988564513717473E-3</v>
      </c>
      <c r="P33" s="3">
        <f t="shared" si="11"/>
        <v>2.0283795263509206E-3</v>
      </c>
      <c r="Q33" s="3">
        <f t="shared" si="12"/>
        <v>1.1685157688390211E-2</v>
      </c>
      <c r="R33" s="3">
        <f t="shared" si="13"/>
        <v>1.0551629023191294E-2</v>
      </c>
      <c r="S33" s="3">
        <f t="shared" si="14"/>
        <v>1.3511903121538998E-2</v>
      </c>
      <c r="U33" s="3">
        <f t="shared" si="3"/>
        <v>-1.0260469386057292E-3</v>
      </c>
      <c r="V33" s="3">
        <f t="shared" si="4"/>
        <v>2.0936364885267275E-2</v>
      </c>
      <c r="W33" s="3">
        <f t="shared" si="5"/>
        <v>-1.6724414663250426E-3</v>
      </c>
      <c r="X33" s="3">
        <f t="shared" si="6"/>
        <v>1.8450063648248811E-2</v>
      </c>
      <c r="Y33" s="3">
        <f t="shared" si="7"/>
        <v>-1.0195690963165416E-2</v>
      </c>
      <c r="Z33" s="3">
        <f t="shared" si="8"/>
        <v>1.6623318215100026E-2</v>
      </c>
      <c r="AB33">
        <f>SUM(U$2:U33)</f>
        <v>0.10203474657190605</v>
      </c>
      <c r="AC33">
        <f>SUM(V$2:V33)</f>
        <v>0.13593110186586671</v>
      </c>
      <c r="AD33">
        <f>SUM(W$2:W33)</f>
        <v>6.3948810499464048E-2</v>
      </c>
      <c r="AE33">
        <f>SUM(X$2:X33)</f>
        <v>0.15012442849441643</v>
      </c>
      <c r="AF33">
        <f>SUM(Y$2:Y33)</f>
        <v>3.1053491454616805E-2</v>
      </c>
      <c r="AG33">
        <f>SUM(Z$2:Z33)</f>
        <v>0.19201426099574107</v>
      </c>
    </row>
    <row r="34" spans="1:33" x14ac:dyDescent="0.35">
      <c r="A34" s="2">
        <v>44317</v>
      </c>
      <c r="B34">
        <v>4.5710962056543396</v>
      </c>
      <c r="C34">
        <v>4.6293176673960206</v>
      </c>
      <c r="D34">
        <v>4.5516145628253222</v>
      </c>
      <c r="E34">
        <v>4.6016125953638252</v>
      </c>
      <c r="F34">
        <v>4.5817444324332604</v>
      </c>
      <c r="G34">
        <v>4.6420654985165868</v>
      </c>
      <c r="H34">
        <v>4.5933940642944373</v>
      </c>
      <c r="I34">
        <v>4.6007872302639523</v>
      </c>
      <c r="J34">
        <v>4.5888462147561322</v>
      </c>
      <c r="L34" s="3">
        <f t="shared" si="1"/>
        <v>3.3897386073380208E-3</v>
      </c>
      <c r="M34" s="3">
        <f t="shared" si="2"/>
        <v>3.7953440731740631E-4</v>
      </c>
      <c r="N34" s="3">
        <f t="shared" si="9"/>
        <v>9.3125004090119606E-4</v>
      </c>
      <c r="O34" s="3">
        <f t="shared" si="10"/>
        <v>1.1338473353532485E-4</v>
      </c>
      <c r="P34" s="3">
        <f t="shared" si="11"/>
        <v>5.0366405293674086E-3</v>
      </c>
      <c r="Q34" s="3">
        <f t="shared" si="12"/>
        <v>4.9719449993377966E-4</v>
      </c>
      <c r="R34" s="3">
        <f t="shared" si="13"/>
        <v>8.8155694236862717E-4</v>
      </c>
      <c r="S34" s="3">
        <f t="shared" si="14"/>
        <v>3.1506282311371961E-4</v>
      </c>
      <c r="U34" s="3">
        <f t="shared" si="3"/>
        <v>2.4584885664368245E-3</v>
      </c>
      <c r="V34" s="3">
        <f t="shared" si="4"/>
        <v>2.6614967378208148E-4</v>
      </c>
      <c r="W34" s="3">
        <f t="shared" si="5"/>
        <v>-1.6469019220293878E-3</v>
      </c>
      <c r="X34" s="3">
        <f t="shared" si="6"/>
        <v>-1.1766009261637335E-4</v>
      </c>
      <c r="Y34" s="3">
        <f t="shared" si="7"/>
        <v>2.5081816649693937E-3</v>
      </c>
      <c r="Z34" s="3">
        <f t="shared" si="8"/>
        <v>6.4471584203686701E-5</v>
      </c>
      <c r="AB34">
        <f>SUM(U$2:U34)</f>
        <v>0.10449323513834287</v>
      </c>
      <c r="AC34">
        <f>SUM(V$2:V34)</f>
        <v>0.13619725153964879</v>
      </c>
      <c r="AD34">
        <f>SUM(W$2:W34)</f>
        <v>6.2301908577434659E-2</v>
      </c>
      <c r="AE34">
        <f>SUM(X$2:X34)</f>
        <v>0.15000676840180005</v>
      </c>
      <c r="AF34">
        <f>SUM(Y$2:Y34)</f>
        <v>3.3561673119586202E-2</v>
      </c>
      <c r="AG34">
        <f>SUM(Z$2:Z34)</f>
        <v>0.19207873257994476</v>
      </c>
    </row>
    <row r="35" spans="1:33" x14ac:dyDescent="0.35">
      <c r="A35" s="2">
        <v>44348</v>
      </c>
      <c r="B35">
        <v>4.5354985127387719</v>
      </c>
      <c r="C35">
        <v>4.5171094773194458</v>
      </c>
      <c r="D35">
        <v>4.5715334469617739</v>
      </c>
      <c r="E35">
        <v>4.5514951487265174</v>
      </c>
      <c r="F35">
        <v>4.5537641977008256</v>
      </c>
      <c r="G35">
        <v>4.5936451882761808</v>
      </c>
      <c r="H35">
        <v>4.623468481814224</v>
      </c>
      <c r="I35">
        <v>4.5537791806483803</v>
      </c>
      <c r="J35">
        <v>4.5160061424561064</v>
      </c>
      <c r="L35" s="3">
        <f t="shared" si="1"/>
        <v>3.3815662365323083E-4</v>
      </c>
      <c r="M35" s="3">
        <f t="shared" si="2"/>
        <v>1.2985164844560785E-3</v>
      </c>
      <c r="N35" s="3">
        <f t="shared" si="9"/>
        <v>2.5589236292443375E-4</v>
      </c>
      <c r="O35" s="3">
        <f t="shared" si="10"/>
        <v>3.3363524713299537E-4</v>
      </c>
      <c r="P35" s="3">
        <f t="shared" si="11"/>
        <v>3.3810358760527101E-3</v>
      </c>
      <c r="Q35" s="3">
        <f t="shared" si="12"/>
        <v>7.7387154591359933E-3</v>
      </c>
      <c r="R35" s="3">
        <f t="shared" si="13"/>
        <v>3.3418281922138494E-4</v>
      </c>
      <c r="S35" s="3">
        <f t="shared" si="14"/>
        <v>3.7995249923654042E-4</v>
      </c>
      <c r="U35" s="3">
        <f t="shared" si="3"/>
        <v>8.2264260728797084E-5</v>
      </c>
      <c r="V35" s="3">
        <f t="shared" si="4"/>
        <v>9.6488123732308318E-4</v>
      </c>
      <c r="W35" s="3">
        <f t="shared" si="5"/>
        <v>-3.0428792523994794E-3</v>
      </c>
      <c r="X35" s="3">
        <f t="shared" si="6"/>
        <v>-6.4401989746799143E-3</v>
      </c>
      <c r="Y35" s="3">
        <f t="shared" si="7"/>
        <v>3.9738044318458942E-6</v>
      </c>
      <c r="Z35" s="3">
        <f t="shared" si="8"/>
        <v>9.1856398521953818E-4</v>
      </c>
      <c r="AB35">
        <f>SUM(U$2:U35)</f>
        <v>0.10457549939907167</v>
      </c>
      <c r="AC35">
        <f>SUM(V$2:V35)</f>
        <v>0.13716213277697187</v>
      </c>
      <c r="AD35">
        <f>SUM(W$2:W35)</f>
        <v>5.9259029325035177E-2</v>
      </c>
      <c r="AE35">
        <f>SUM(X$2:X35)</f>
        <v>0.14356656942712015</v>
      </c>
      <c r="AF35">
        <f>SUM(Y$2:Y35)</f>
        <v>3.3565646924018047E-2</v>
      </c>
      <c r="AG35">
        <f>SUM(Z$2:Z35)</f>
        <v>0.19299729656516429</v>
      </c>
    </row>
    <row r="36" spans="1:33" x14ac:dyDescent="0.35">
      <c r="A36" s="2">
        <v>44378</v>
      </c>
      <c r="B36">
        <v>4.5554545937421587</v>
      </c>
      <c r="C36">
        <v>4.5829086618949981</v>
      </c>
      <c r="D36">
        <v>4.5170744355580874</v>
      </c>
      <c r="E36">
        <v>4.6049369173438679</v>
      </c>
      <c r="F36">
        <v>4.5718584868117667</v>
      </c>
      <c r="G36">
        <v>4.5930160065736789</v>
      </c>
      <c r="H36">
        <v>4.6629519993268511</v>
      </c>
      <c r="I36">
        <v>4.5635866062397321</v>
      </c>
      <c r="J36">
        <v>4.534151279181093</v>
      </c>
      <c r="L36" s="3">
        <f t="shared" si="1"/>
        <v>7.53725858140754E-4</v>
      </c>
      <c r="M36" s="3">
        <f t="shared" si="2"/>
        <v>1.4730365422343317E-3</v>
      </c>
      <c r="N36" s="3">
        <f t="shared" si="9"/>
        <v>2.4485003490242706E-3</v>
      </c>
      <c r="O36" s="3">
        <f t="shared" si="10"/>
        <v>2.69087707839133E-4</v>
      </c>
      <c r="P36" s="3">
        <f t="shared" si="11"/>
        <v>1.4108597338998946E-3</v>
      </c>
      <c r="Q36" s="3">
        <f t="shared" si="12"/>
        <v>1.1555692207439868E-2</v>
      </c>
      <c r="R36" s="3">
        <f t="shared" si="13"/>
        <v>6.6129627260690753E-5</v>
      </c>
      <c r="S36" s="3">
        <f t="shared" si="14"/>
        <v>4.5383121128771435E-4</v>
      </c>
      <c r="U36" s="3">
        <f t="shared" si="3"/>
        <v>-1.6947744908835166E-3</v>
      </c>
      <c r="V36" s="3">
        <f t="shared" si="4"/>
        <v>1.2039488343951986E-3</v>
      </c>
      <c r="W36" s="3">
        <f t="shared" si="5"/>
        <v>-6.5713387575914062E-4</v>
      </c>
      <c r="X36" s="3">
        <f t="shared" si="6"/>
        <v>-1.0082655665205536E-2</v>
      </c>
      <c r="Y36" s="3">
        <f t="shared" si="7"/>
        <v>6.8759623088006329E-4</v>
      </c>
      <c r="Z36" s="3">
        <f t="shared" si="8"/>
        <v>1.0192053309466174E-3</v>
      </c>
      <c r="AB36">
        <f>SUM(U$2:U36)</f>
        <v>0.10288072490818816</v>
      </c>
      <c r="AC36">
        <f>SUM(V$2:V36)</f>
        <v>0.13836608161136707</v>
      </c>
      <c r="AD36">
        <f>SUM(W$2:W36)</f>
        <v>5.8601895449276034E-2</v>
      </c>
      <c r="AE36">
        <f>SUM(X$2:X36)</f>
        <v>0.13348391376191462</v>
      </c>
      <c r="AF36">
        <f>SUM(Y$2:Y36)</f>
        <v>3.4253243154898111E-2</v>
      </c>
      <c r="AG36">
        <f>SUM(Z$2:Z36)</f>
        <v>0.19401650189611092</v>
      </c>
    </row>
    <row r="37" spans="1:33" x14ac:dyDescent="0.35">
      <c r="A37" s="2">
        <v>44409</v>
      </c>
      <c r="B37">
        <v>4.5516639184649499</v>
      </c>
      <c r="C37">
        <v>4.5808790311043692</v>
      </c>
      <c r="D37">
        <v>4.5600123224298272</v>
      </c>
      <c r="E37">
        <v>4.5773135333968424</v>
      </c>
      <c r="F37">
        <v>4.5862615496219226</v>
      </c>
      <c r="G37">
        <v>4.5786534309820626</v>
      </c>
      <c r="H37">
        <v>4.6253324563656539</v>
      </c>
      <c r="I37">
        <v>4.5676951076537513</v>
      </c>
      <c r="J37">
        <v>4.5247457959439021</v>
      </c>
      <c r="L37" s="3">
        <f t="shared" si="1"/>
        <v>8.5352280653395963E-4</v>
      </c>
      <c r="M37" s="3">
        <f t="shared" si="2"/>
        <v>6.9695848760779842E-5</v>
      </c>
      <c r="N37" s="3">
        <f t="shared" si="9"/>
        <v>6.5790274615436532E-4</v>
      </c>
      <c r="O37" s="3">
        <f t="shared" si="10"/>
        <v>1.1969960816739264E-3</v>
      </c>
      <c r="P37" s="3">
        <f t="shared" si="11"/>
        <v>7.2843378591138199E-4</v>
      </c>
      <c r="Q37" s="3">
        <f t="shared" si="12"/>
        <v>5.427053476427468E-3</v>
      </c>
      <c r="R37" s="3">
        <f t="shared" si="13"/>
        <v>2.5699902680714352E-4</v>
      </c>
      <c r="S37" s="3">
        <f t="shared" si="14"/>
        <v>7.2458532005813801E-4</v>
      </c>
      <c r="U37" s="3">
        <f t="shared" si="3"/>
        <v>1.9562006037959431E-4</v>
      </c>
      <c r="V37" s="3">
        <f t="shared" si="4"/>
        <v>-1.1273002329131466E-3</v>
      </c>
      <c r="W37" s="3">
        <f t="shared" si="5"/>
        <v>1.2508902062257764E-4</v>
      </c>
      <c r="X37" s="3">
        <f t="shared" si="6"/>
        <v>-5.3573576276666878E-3</v>
      </c>
      <c r="Y37" s="3">
        <f t="shared" si="7"/>
        <v>5.9652377972681616E-4</v>
      </c>
      <c r="Z37" s="3">
        <f t="shared" si="8"/>
        <v>-6.5488947129735821E-4</v>
      </c>
      <c r="AB37">
        <f>SUM(U$2:U37)</f>
        <v>0.10307634496856775</v>
      </c>
      <c r="AC37">
        <f>SUM(V$2:V37)</f>
        <v>0.13723878137845391</v>
      </c>
      <c r="AD37">
        <f>SUM(W$2:W37)</f>
        <v>5.8726984469898609E-2</v>
      </c>
      <c r="AE37">
        <f>SUM(X$2:X37)</f>
        <v>0.12812655613424795</v>
      </c>
      <c r="AF37">
        <f>SUM(Y$2:Y37)</f>
        <v>3.484976693462493E-2</v>
      </c>
      <c r="AG37">
        <f>SUM(Z$2:Z37)</f>
        <v>0.19336161242481356</v>
      </c>
    </row>
    <row r="38" spans="1:33" x14ac:dyDescent="0.35">
      <c r="A38" s="2">
        <v>44440</v>
      </c>
      <c r="B38">
        <v>4.5262351978999487</v>
      </c>
      <c r="C38">
        <v>4.5607536825248287</v>
      </c>
      <c r="D38">
        <v>4.5596060772175706</v>
      </c>
      <c r="E38">
        <v>4.5534480816504823</v>
      </c>
      <c r="F38">
        <v>4.5497226212798756</v>
      </c>
      <c r="G38">
        <v>4.5618712911303021</v>
      </c>
      <c r="H38">
        <v>4.5895225904861991</v>
      </c>
      <c r="I38">
        <v>4.5668912770129504</v>
      </c>
      <c r="J38">
        <v>4.5180477612345404</v>
      </c>
      <c r="L38" s="3">
        <f t="shared" si="1"/>
        <v>1.1915257807980806E-3</v>
      </c>
      <c r="M38" s="3">
        <f t="shared" si="2"/>
        <v>1.1136155864312884E-3</v>
      </c>
      <c r="N38" s="3">
        <f t="shared" si="9"/>
        <v>7.4054104202005871E-4</v>
      </c>
      <c r="O38" s="3">
        <f t="shared" si="10"/>
        <v>5.5165905702793817E-4</v>
      </c>
      <c r="P38" s="3">
        <f t="shared" si="11"/>
        <v>1.2699311407224421E-3</v>
      </c>
      <c r="Q38" s="3">
        <f t="shared" si="12"/>
        <v>4.0052940603661933E-3</v>
      </c>
      <c r="R38" s="3">
        <f t="shared" si="13"/>
        <v>1.6529167688426555E-3</v>
      </c>
      <c r="S38" s="3">
        <f t="shared" si="14"/>
        <v>6.7034119150070882E-5</v>
      </c>
      <c r="U38" s="3">
        <f t="shared" si="3"/>
        <v>4.5098473877802192E-4</v>
      </c>
      <c r="V38" s="3">
        <f t="shared" si="4"/>
        <v>5.6195652940335022E-4</v>
      </c>
      <c r="W38" s="3">
        <f t="shared" si="5"/>
        <v>-7.8405359924361507E-5</v>
      </c>
      <c r="X38" s="3">
        <f t="shared" si="6"/>
        <v>-2.8916784739349052E-3</v>
      </c>
      <c r="Y38" s="3">
        <f t="shared" si="7"/>
        <v>-4.6139098804457487E-4</v>
      </c>
      <c r="Z38" s="3">
        <f t="shared" si="8"/>
        <v>1.0465814672812176E-3</v>
      </c>
      <c r="AB38">
        <f>SUM(U$2:U38)</f>
        <v>0.10352732970734578</v>
      </c>
      <c r="AC38">
        <f>SUM(V$2:V38)</f>
        <v>0.13780073790785727</v>
      </c>
      <c r="AD38">
        <f>SUM(W$2:W38)</f>
        <v>5.8648579109974244E-2</v>
      </c>
      <c r="AE38">
        <f>SUM(X$2:X38)</f>
        <v>0.12523487766031305</v>
      </c>
      <c r="AF38">
        <f>SUM(Y$2:Y38)</f>
        <v>3.4388375946580355E-2</v>
      </c>
      <c r="AG38">
        <f>SUM(Z$2:Z38)</f>
        <v>0.19440819389209477</v>
      </c>
    </row>
    <row r="39" spans="1:33" x14ac:dyDescent="0.35">
      <c r="A39" s="2">
        <v>44470</v>
      </c>
      <c r="B39">
        <v>4.5814920586335139</v>
      </c>
      <c r="C39">
        <v>4.5402085457390973</v>
      </c>
      <c r="D39">
        <v>4.4871880977556211</v>
      </c>
      <c r="E39">
        <v>4.5921065439965112</v>
      </c>
      <c r="F39">
        <v>4.5852203093545434</v>
      </c>
      <c r="G39">
        <v>4.5882931676919174</v>
      </c>
      <c r="H39">
        <v>4.6155266029037474</v>
      </c>
      <c r="I39">
        <v>4.5616973622023123</v>
      </c>
      <c r="J39">
        <v>4.534798714687617</v>
      </c>
      <c r="L39" s="3">
        <f t="shared" si="1"/>
        <v>1.7043284369034678E-3</v>
      </c>
      <c r="M39" s="3">
        <f t="shared" si="2"/>
        <v>8.893237037259142E-3</v>
      </c>
      <c r="N39" s="3">
        <f t="shared" si="9"/>
        <v>1.1266729952128287E-4</v>
      </c>
      <c r="O39" s="3">
        <f t="shared" si="10"/>
        <v>1.3899853438856591E-5</v>
      </c>
      <c r="P39" s="3">
        <f t="shared" si="11"/>
        <v>4.6255084424297817E-5</v>
      </c>
      <c r="Q39" s="3">
        <f t="shared" si="12"/>
        <v>1.1583502036824804E-3</v>
      </c>
      <c r="R39" s="3">
        <f t="shared" si="13"/>
        <v>3.9183000680342877E-4</v>
      </c>
      <c r="S39" s="3">
        <f t="shared" si="14"/>
        <v>2.180268368849833E-3</v>
      </c>
      <c r="U39" s="3">
        <f t="shared" si="3"/>
        <v>1.5916611373821849E-3</v>
      </c>
      <c r="V39" s="3">
        <f t="shared" si="4"/>
        <v>8.8793371838202847E-3</v>
      </c>
      <c r="W39" s="3">
        <f t="shared" si="5"/>
        <v>1.6580733524791699E-3</v>
      </c>
      <c r="X39" s="3">
        <f t="shared" si="6"/>
        <v>7.7348868335766615E-3</v>
      </c>
      <c r="Y39" s="3">
        <f t="shared" si="7"/>
        <v>1.312498430100039E-3</v>
      </c>
      <c r="Z39" s="3">
        <f t="shared" si="8"/>
        <v>6.7129686684093085E-3</v>
      </c>
      <c r="AB39">
        <f>SUM(U$2:U39)</f>
        <v>0.10511899084472796</v>
      </c>
      <c r="AC39">
        <f>SUM(V$2:V39)</f>
        <v>0.14668007509167755</v>
      </c>
      <c r="AD39">
        <f>SUM(W$2:W39)</f>
        <v>6.0306652462453411E-2</v>
      </c>
      <c r="AE39">
        <f>SUM(X$2:X39)</f>
        <v>0.1329697644938897</v>
      </c>
      <c r="AF39">
        <f>SUM(Y$2:Y39)</f>
        <v>3.5700874376680396E-2</v>
      </c>
      <c r="AG39">
        <f>SUM(Z$2:Z39)</f>
        <v>0.20112116256050408</v>
      </c>
    </row>
    <row r="40" spans="1:33" x14ac:dyDescent="0.35">
      <c r="A40" s="2">
        <v>44501</v>
      </c>
      <c r="B40">
        <v>4.6203543213131324</v>
      </c>
      <c r="C40">
        <v>4.6272203726602044</v>
      </c>
      <c r="D40">
        <v>4.5588973436054987</v>
      </c>
      <c r="E40">
        <v>4.5985945707198006</v>
      </c>
      <c r="F40">
        <v>4.6004497818863674</v>
      </c>
      <c r="G40">
        <v>4.6041122988173653</v>
      </c>
      <c r="H40">
        <v>4.6262319055866969</v>
      </c>
      <c r="I40">
        <v>4.5752519582163567</v>
      </c>
      <c r="J40">
        <v>4.5577486190883496</v>
      </c>
      <c r="L40" s="3">
        <f t="shared" si="1"/>
        <v>4.7142661100628766E-5</v>
      </c>
      <c r="M40" s="3">
        <f t="shared" si="2"/>
        <v>3.7769601089565853E-3</v>
      </c>
      <c r="N40" s="3">
        <f t="shared" si="9"/>
        <v>4.7348674588400339E-4</v>
      </c>
      <c r="O40" s="3">
        <f t="shared" si="10"/>
        <v>3.9619068979164057E-4</v>
      </c>
      <c r="P40" s="3">
        <f t="shared" si="11"/>
        <v>2.6380329475300505E-4</v>
      </c>
      <c r="Q40" s="3">
        <f t="shared" si="12"/>
        <v>3.454599689285333E-5</v>
      </c>
      <c r="R40" s="3">
        <f t="shared" si="13"/>
        <v>2.0342231569133976E-3</v>
      </c>
      <c r="S40" s="3">
        <f t="shared" si="14"/>
        <v>3.9194739510581729E-3</v>
      </c>
      <c r="U40" s="3">
        <f t="shared" si="3"/>
        <v>-4.263440847833746E-4</v>
      </c>
      <c r="V40" s="3">
        <f t="shared" si="4"/>
        <v>3.3807694191649446E-3</v>
      </c>
      <c r="W40" s="3">
        <f t="shared" si="5"/>
        <v>-2.1666063365237629E-4</v>
      </c>
      <c r="X40" s="3">
        <f t="shared" si="6"/>
        <v>3.7424141120637319E-3</v>
      </c>
      <c r="Y40" s="3">
        <f t="shared" si="7"/>
        <v>-1.9870804958127689E-3</v>
      </c>
      <c r="Z40" s="3">
        <f t="shared" si="8"/>
        <v>-1.4251384210158761E-4</v>
      </c>
      <c r="AB40">
        <f>SUM(U$2:U40)</f>
        <v>0.10469264675994459</v>
      </c>
      <c r="AC40">
        <f>SUM(V$2:V40)</f>
        <v>0.15006084451084251</v>
      </c>
      <c r="AD40">
        <f>SUM(W$2:W40)</f>
        <v>6.0089991828801037E-2</v>
      </c>
      <c r="AE40">
        <f>SUM(X$2:X40)</f>
        <v>0.13671217860595342</v>
      </c>
      <c r="AF40">
        <f>SUM(Y$2:Y40)</f>
        <v>3.3713793880867628E-2</v>
      </c>
      <c r="AG40">
        <f>SUM(Z$2:Z40)</f>
        <v>0.20097864871840249</v>
      </c>
    </row>
    <row r="41" spans="1:33" x14ac:dyDescent="0.35">
      <c r="A41" s="2">
        <v>44531</v>
      </c>
      <c r="B41">
        <v>4.593805855909042</v>
      </c>
      <c r="C41">
        <v>4.6017675276759551</v>
      </c>
      <c r="D41">
        <v>4.559596822314397</v>
      </c>
      <c r="E41">
        <v>4.6098048196952108</v>
      </c>
      <c r="F41">
        <v>4.5963543444370289</v>
      </c>
      <c r="G41">
        <v>4.6239070372406257</v>
      </c>
      <c r="H41">
        <v>4.6258647500171586</v>
      </c>
      <c r="I41">
        <v>4.5864914150242697</v>
      </c>
      <c r="J41">
        <v>4.5739404644885227</v>
      </c>
      <c r="L41" s="3">
        <f t="shared" si="1"/>
        <v>6.3388217324061033E-5</v>
      </c>
      <c r="M41" s="3">
        <f t="shared" si="2"/>
        <v>1.1702579794795503E-3</v>
      </c>
      <c r="N41" s="3">
        <f t="shared" si="9"/>
        <v>2.5596684223114165E-4</v>
      </c>
      <c r="O41" s="3">
        <f t="shared" si="10"/>
        <v>6.4947937772810775E-6</v>
      </c>
      <c r="P41" s="3">
        <f t="shared" si="11"/>
        <v>9.0608111755688197E-4</v>
      </c>
      <c r="Q41" s="3">
        <f t="shared" si="12"/>
        <v>1.0277726914354316E-3</v>
      </c>
      <c r="R41" s="3">
        <f t="shared" si="13"/>
        <v>5.3501045456828421E-5</v>
      </c>
      <c r="S41" s="3">
        <f t="shared" si="14"/>
        <v>3.9463377629044385E-4</v>
      </c>
      <c r="U41" s="3">
        <f t="shared" si="3"/>
        <v>-1.9257862490708062E-4</v>
      </c>
      <c r="V41" s="3">
        <f t="shared" si="4"/>
        <v>1.1637631857022693E-3</v>
      </c>
      <c r="W41" s="3">
        <f t="shared" si="5"/>
        <v>-8.4269290023282093E-4</v>
      </c>
      <c r="X41" s="3">
        <f t="shared" si="6"/>
        <v>1.4248528804411864E-4</v>
      </c>
      <c r="Y41" s="3">
        <f t="shared" si="7"/>
        <v>9.8871718672326127E-6</v>
      </c>
      <c r="Z41" s="3">
        <f t="shared" si="8"/>
        <v>7.7562420318910642E-4</v>
      </c>
      <c r="AB41">
        <f>SUM(U$2:U41)</f>
        <v>0.10450006813503751</v>
      </c>
      <c r="AC41">
        <f>SUM(V$2:V41)</f>
        <v>0.15122460769654478</v>
      </c>
      <c r="AD41">
        <f>SUM(W$2:W41)</f>
        <v>5.9247298928568219E-2</v>
      </c>
      <c r="AE41">
        <f>SUM(X$2:X41)</f>
        <v>0.13685466389399753</v>
      </c>
      <c r="AF41">
        <f>SUM(Y$2:Y41)</f>
        <v>3.3723681052734863E-2</v>
      </c>
      <c r="AG41">
        <f>SUM(Z$2:Z41)</f>
        <v>0.20175427292159159</v>
      </c>
    </row>
    <row r="42" spans="1:33" x14ac:dyDescent="0.35">
      <c r="A42" s="2">
        <v>44562</v>
      </c>
      <c r="B42">
        <v>4.5317389079022083</v>
      </c>
      <c r="C42">
        <v>4.5805129743814863</v>
      </c>
      <c r="D42">
        <v>4.4981132970076434</v>
      </c>
      <c r="E42">
        <v>4.591826655871083</v>
      </c>
      <c r="F42">
        <v>4.5687422308688159</v>
      </c>
      <c r="G42">
        <v>4.6254233294597613</v>
      </c>
      <c r="H42">
        <v>4.6247082679069411</v>
      </c>
      <c r="I42">
        <v>4.5885738310202084</v>
      </c>
      <c r="J42">
        <v>4.5712735318121709</v>
      </c>
      <c r="L42" s="3">
        <f t="shared" si="1"/>
        <v>2.3789095609250254E-3</v>
      </c>
      <c r="M42" s="3">
        <f t="shared" si="2"/>
        <v>1.1306817080326851E-3</v>
      </c>
      <c r="N42" s="3">
        <f t="shared" si="9"/>
        <v>3.6105374559709954E-3</v>
      </c>
      <c r="O42" s="3">
        <f t="shared" si="10"/>
        <v>1.3692459105710678E-3</v>
      </c>
      <c r="P42" s="3">
        <f t="shared" si="11"/>
        <v>8.7767708425732956E-3</v>
      </c>
      <c r="Q42" s="3">
        <f t="shared" si="12"/>
        <v>8.6433018996896049E-3</v>
      </c>
      <c r="R42" s="3">
        <f t="shared" si="13"/>
        <v>3.2302084858289812E-3</v>
      </c>
      <c r="S42" s="3">
        <f t="shared" si="14"/>
        <v>1.5629864877021817E-3</v>
      </c>
      <c r="U42" s="3">
        <f t="shared" si="3"/>
        <v>-1.23162789504597E-3</v>
      </c>
      <c r="V42" s="3">
        <f t="shared" si="4"/>
        <v>-2.3856420253838269E-4</v>
      </c>
      <c r="W42" s="3">
        <f t="shared" si="5"/>
        <v>-6.3978612816482702E-3</v>
      </c>
      <c r="X42" s="3">
        <f t="shared" si="6"/>
        <v>-7.5126201916569197E-3</v>
      </c>
      <c r="Y42" s="3">
        <f t="shared" si="7"/>
        <v>-8.5129892490395584E-4</v>
      </c>
      <c r="Z42" s="3">
        <f t="shared" si="8"/>
        <v>-4.3230477966949661E-4</v>
      </c>
      <c r="AB42">
        <f>SUM(U$2:U42)</f>
        <v>0.10326844023999154</v>
      </c>
      <c r="AC42">
        <f>SUM(V$2:V42)</f>
        <v>0.15098604349400641</v>
      </c>
      <c r="AD42">
        <f>SUM(W$2:W42)</f>
        <v>5.2849437646919947E-2</v>
      </c>
      <c r="AE42">
        <f>SUM(X$2:X42)</f>
        <v>0.12934204370234062</v>
      </c>
      <c r="AF42">
        <f>SUM(Y$2:Y42)</f>
        <v>3.2872382127830904E-2</v>
      </c>
      <c r="AG42">
        <f>SUM(Z$2:Z42)</f>
        <v>0.2013219681419221</v>
      </c>
    </row>
    <row r="43" spans="1:33" x14ac:dyDescent="0.35">
      <c r="A43" s="2">
        <v>44593</v>
      </c>
      <c r="B43">
        <v>4.6215355400743556</v>
      </c>
      <c r="C43">
        <v>4.5247216556518159</v>
      </c>
      <c r="D43">
        <v>4.5795774412614483</v>
      </c>
      <c r="E43">
        <v>4.613712798047648</v>
      </c>
      <c r="F43">
        <v>4.6502941679403333</v>
      </c>
      <c r="G43">
        <v>4.6496711283385128</v>
      </c>
      <c r="H43">
        <v>4.6787040109496782</v>
      </c>
      <c r="I43">
        <v>4.6380637704975154</v>
      </c>
      <c r="J43">
        <v>4.6278533787551126</v>
      </c>
      <c r="L43" s="3">
        <f t="shared" si="1"/>
        <v>9.3729282169808734E-3</v>
      </c>
      <c r="M43" s="3">
        <f t="shared" si="2"/>
        <v>1.7604820559936974E-3</v>
      </c>
      <c r="N43" s="3">
        <f t="shared" si="9"/>
        <v>6.11952928164178E-5</v>
      </c>
      <c r="O43" s="3">
        <f t="shared" si="10"/>
        <v>8.2705867673378997E-4</v>
      </c>
      <c r="P43" s="3">
        <f t="shared" si="11"/>
        <v>7.9161132697017956E-4</v>
      </c>
      <c r="Q43" s="3">
        <f t="shared" si="12"/>
        <v>3.2682340622226104E-3</v>
      </c>
      <c r="R43" s="3">
        <f t="shared" si="13"/>
        <v>2.7318240092106394E-4</v>
      </c>
      <c r="S43" s="3">
        <f t="shared" si="14"/>
        <v>3.9915085596068983E-5</v>
      </c>
      <c r="U43" s="3">
        <f t="shared" si="3"/>
        <v>9.3117329241644564E-3</v>
      </c>
      <c r="V43" s="3">
        <f t="shared" si="4"/>
        <v>9.334233792599074E-4</v>
      </c>
      <c r="W43" s="3">
        <f t="shared" si="5"/>
        <v>8.5813168900106939E-3</v>
      </c>
      <c r="X43" s="3">
        <f t="shared" si="6"/>
        <v>-1.507752006228913E-3</v>
      </c>
      <c r="Y43" s="3">
        <f t="shared" si="7"/>
        <v>9.0997458160598094E-3</v>
      </c>
      <c r="Z43" s="3">
        <f t="shared" si="8"/>
        <v>1.7205669703976283E-3</v>
      </c>
      <c r="AB43">
        <f>SUM(U$2:U43)</f>
        <v>0.112580173164156</v>
      </c>
      <c r="AC43">
        <f>SUM(V$2:V43)</f>
        <v>0.15191946687326632</v>
      </c>
      <c r="AD43">
        <f>SUM(W$2:W43)</f>
        <v>6.1430754536930643E-2</v>
      </c>
      <c r="AE43">
        <f>SUM(X$2:X43)</f>
        <v>0.12783429169611171</v>
      </c>
      <c r="AF43">
        <f>SUM(Y$2:Y43)</f>
        <v>4.1972127943890714E-2</v>
      </c>
      <c r="AG43">
        <f>SUM(Z$2:Z43)</f>
        <v>0.20304253511231973</v>
      </c>
    </row>
    <row r="44" spans="1:33" x14ac:dyDescent="0.35">
      <c r="A44" s="2">
        <v>44621</v>
      </c>
      <c r="B44">
        <v>4.8228588866193371</v>
      </c>
      <c r="C44">
        <v>4.6760994576192187</v>
      </c>
      <c r="D44">
        <v>4.603577446205489</v>
      </c>
      <c r="E44">
        <v>4.7791734840012792</v>
      </c>
      <c r="F44">
        <v>4.8090415423055344</v>
      </c>
      <c r="G44">
        <v>4.7242974996896487</v>
      </c>
      <c r="H44">
        <v>4.7526435327675776</v>
      </c>
      <c r="I44">
        <v>4.7427770986630691</v>
      </c>
      <c r="J44">
        <v>4.7508953093723783</v>
      </c>
      <c r="L44" s="3">
        <f t="shared" si="1"/>
        <v>2.1538330000440795E-2</v>
      </c>
      <c r="M44" s="3">
        <f t="shared" si="2"/>
        <v>4.8084350109972022E-2</v>
      </c>
      <c r="N44" s="3">
        <f t="shared" si="9"/>
        <v>1.9084144019018269E-3</v>
      </c>
      <c r="O44" s="3">
        <f t="shared" si="10"/>
        <v>1.9091900388617776E-4</v>
      </c>
      <c r="P44" s="3">
        <f t="shared" si="11"/>
        <v>9.7143469935037537E-3</v>
      </c>
      <c r="Q44" s="3">
        <f t="shared" si="12"/>
        <v>4.9301959165278103E-3</v>
      </c>
      <c r="R44" s="3">
        <f t="shared" si="13"/>
        <v>6.4130927622726829E-3</v>
      </c>
      <c r="S44" s="3">
        <f t="shared" si="14"/>
        <v>5.1787564501790204E-3</v>
      </c>
      <c r="U44" s="3">
        <f>$L44-N44</f>
        <v>1.9629915598538966E-2</v>
      </c>
      <c r="V44" s="3">
        <f t="shared" si="4"/>
        <v>4.7893431106085842E-2</v>
      </c>
      <c r="W44" s="3">
        <f t="shared" si="5"/>
        <v>1.1823983006937041E-2</v>
      </c>
      <c r="X44" s="3">
        <f t="shared" si="6"/>
        <v>4.3154154193444212E-2</v>
      </c>
      <c r="Y44" s="3">
        <f t="shared" si="7"/>
        <v>1.5125237238168112E-2</v>
      </c>
      <c r="Z44" s="3">
        <f t="shared" si="8"/>
        <v>4.2905593659793004E-2</v>
      </c>
      <c r="AB44">
        <f>SUM(U$2:U44)</f>
        <v>0.13221008876269497</v>
      </c>
      <c r="AC44">
        <f>SUM(V$2:V44)</f>
        <v>0.19981289797935217</v>
      </c>
      <c r="AD44">
        <f>SUM(W$2:W44)</f>
        <v>7.3254737543867687E-2</v>
      </c>
      <c r="AE44">
        <f>SUM(X$2:X44)</f>
        <v>0.17098844588955592</v>
      </c>
      <c r="AF44">
        <f>SUM(Y$2:Y44)</f>
        <v>5.7097365182058823E-2</v>
      </c>
      <c r="AG44">
        <f>SUM(Z$2:Z44)</f>
        <v>0.24594812877211275</v>
      </c>
    </row>
    <row r="45" spans="1:33" x14ac:dyDescent="0.35">
      <c r="A45" s="2">
        <v>44652</v>
      </c>
      <c r="B45">
        <v>4.7082681439916589</v>
      </c>
      <c r="C45">
        <v>4.7879002543050833</v>
      </c>
      <c r="D45">
        <v>4.6025236204647442</v>
      </c>
      <c r="E45">
        <v>4.7111178980388546</v>
      </c>
      <c r="F45">
        <v>4.7345230329102526</v>
      </c>
      <c r="G45">
        <v>4.7119909558115536</v>
      </c>
      <c r="H45">
        <v>4.7256438685721038</v>
      </c>
      <c r="I45">
        <v>4.7159045729062443</v>
      </c>
      <c r="J45">
        <v>4.6820330584631744</v>
      </c>
      <c r="L45" s="3">
        <f t="shared" si="1"/>
        <v>6.3412729929693797E-3</v>
      </c>
      <c r="M45" s="3">
        <f t="shared" si="2"/>
        <v>1.1181904255934232E-2</v>
      </c>
      <c r="N45" s="3">
        <f t="shared" si="9"/>
        <v>8.1210981295081227E-6</v>
      </c>
      <c r="O45" s="3">
        <f t="shared" si="10"/>
        <v>6.8931919212769015E-4</v>
      </c>
      <c r="P45" s="3">
        <f t="shared" si="11"/>
        <v>1.3859327846347276E-5</v>
      </c>
      <c r="Q45" s="3">
        <f t="shared" si="12"/>
        <v>3.0191580469547696E-4</v>
      </c>
      <c r="R45" s="3">
        <f t="shared" si="13"/>
        <v>5.8315046567515652E-5</v>
      </c>
      <c r="S45" s="3">
        <f t="shared" si="14"/>
        <v>6.8827971268689819E-4</v>
      </c>
      <c r="U45" s="3">
        <f t="shared" si="3"/>
        <v>6.3331518948398719E-3</v>
      </c>
      <c r="V45" s="3">
        <f t="shared" si="4"/>
        <v>1.0492585063806542E-2</v>
      </c>
      <c r="W45" s="3">
        <f t="shared" si="5"/>
        <v>6.3274136651230327E-3</v>
      </c>
      <c r="X45" s="3">
        <f t="shared" si="6"/>
        <v>1.0879988451238755E-2</v>
      </c>
      <c r="Y45" s="3">
        <f t="shared" si="7"/>
        <v>6.2829579464018645E-3</v>
      </c>
      <c r="Z45" s="3">
        <f t="shared" si="8"/>
        <v>1.0493624543247333E-2</v>
      </c>
      <c r="AB45">
        <f>SUM(U$2:U45)</f>
        <v>0.13854324065753484</v>
      </c>
      <c r="AC45">
        <f>SUM(V$2:V45)</f>
        <v>0.21030548304315871</v>
      </c>
      <c r="AD45">
        <f>SUM(W$2:W45)</f>
        <v>7.9582151208990717E-2</v>
      </c>
      <c r="AE45">
        <f>SUM(X$2:X45)</f>
        <v>0.18186843434079467</v>
      </c>
      <c r="AF45">
        <f>SUM(Y$2:Y45)</f>
        <v>6.3380323128460689E-2</v>
      </c>
      <c r="AG45">
        <f>SUM(Z$2:Z45)</f>
        <v>0.25644175331536007</v>
      </c>
    </row>
    <row r="46" spans="1:33" x14ac:dyDescent="0.35">
      <c r="A46" s="2">
        <v>44682</v>
      </c>
      <c r="B46">
        <v>4.5640356426295359</v>
      </c>
      <c r="C46">
        <v>4.5599704751004602</v>
      </c>
      <c r="D46">
        <v>4.5931526168339643</v>
      </c>
      <c r="E46">
        <v>4.603481102117386</v>
      </c>
      <c r="F46">
        <v>4.5884744919737139</v>
      </c>
      <c r="G46">
        <v>4.6425955705533397</v>
      </c>
      <c r="H46">
        <v>4.6397071057376191</v>
      </c>
      <c r="I46">
        <v>4.5977138141705227</v>
      </c>
      <c r="J46">
        <v>4.5645938811550746</v>
      </c>
      <c r="L46" s="3">
        <f t="shared" si="1"/>
        <v>1.6525587039451499E-5</v>
      </c>
      <c r="M46" s="3">
        <f t="shared" si="2"/>
        <v>8.4779818682134776E-4</v>
      </c>
      <c r="N46" s="3">
        <f t="shared" si="9"/>
        <v>1.5559442742076287E-3</v>
      </c>
      <c r="O46" s="3">
        <f t="shared" si="10"/>
        <v>5.9725735726743234E-4</v>
      </c>
      <c r="P46" s="3">
        <f t="shared" si="11"/>
        <v>6.1716622753932547E-3</v>
      </c>
      <c r="Q46" s="3">
        <f t="shared" si="12"/>
        <v>5.7261703289180057E-3</v>
      </c>
      <c r="R46" s="3">
        <f t="shared" si="13"/>
        <v>1.1342192383441362E-3</v>
      </c>
      <c r="S46" s="3">
        <f t="shared" si="14"/>
        <v>3.1163025139563559E-7</v>
      </c>
      <c r="U46" s="3">
        <f t="shared" si="3"/>
        <v>-1.5394186871681773E-3</v>
      </c>
      <c r="V46" s="3">
        <f t="shared" si="4"/>
        <v>2.5054082955391541E-4</v>
      </c>
      <c r="W46" s="3">
        <f t="shared" si="5"/>
        <v>-6.1551366883538031E-3</v>
      </c>
      <c r="X46" s="3">
        <f t="shared" si="6"/>
        <v>-4.878372142096658E-3</v>
      </c>
      <c r="Y46" s="3">
        <f t="shared" si="7"/>
        <v>-1.1176936513046848E-3</v>
      </c>
      <c r="Z46" s="3">
        <f t="shared" si="8"/>
        <v>8.4748655656995207E-4</v>
      </c>
      <c r="AB46">
        <f>SUM(U$2:U46)</f>
        <v>0.13700382197036667</v>
      </c>
      <c r="AC46">
        <f>SUM(V$2:V46)</f>
        <v>0.21055602387271263</v>
      </c>
      <c r="AD46">
        <f>SUM(W$2:W46)</f>
        <v>7.3427014520636907E-2</v>
      </c>
      <c r="AE46">
        <f>SUM(X$2:X46)</f>
        <v>0.17699006219869801</v>
      </c>
      <c r="AF46">
        <f>SUM(Y$2:Y46)</f>
        <v>6.2262629477156002E-2</v>
      </c>
      <c r="AG46">
        <f>SUM(Z$2:Z46)</f>
        <v>0.25728923987193003</v>
      </c>
    </row>
    <row r="47" spans="1:33" x14ac:dyDescent="0.35">
      <c r="A47" s="2">
        <v>44713</v>
      </c>
      <c r="B47">
        <v>4.5348550120730664</v>
      </c>
      <c r="C47">
        <v>4.5517058695140493</v>
      </c>
      <c r="D47">
        <v>4.5963192847299137</v>
      </c>
      <c r="E47">
        <v>4.5673695410870936</v>
      </c>
      <c r="F47">
        <v>4.5511609999857541</v>
      </c>
      <c r="G47">
        <v>4.6014138977273902</v>
      </c>
      <c r="H47">
        <v>4.5752995012031423</v>
      </c>
      <c r="I47">
        <v>4.5567970476416404</v>
      </c>
      <c r="J47">
        <v>4.5546667938986607</v>
      </c>
      <c r="L47" s="3">
        <f t="shared" si="1"/>
        <v>2.8395139649632921E-4</v>
      </c>
      <c r="M47" s="3">
        <f t="shared" si="2"/>
        <v>3.7778568132352647E-3</v>
      </c>
      <c r="N47" s="3">
        <f t="shared" si="9"/>
        <v>1.0571945970040155E-3</v>
      </c>
      <c r="O47" s="3">
        <f t="shared" si="10"/>
        <v>2.6588524180871638E-4</v>
      </c>
      <c r="P47" s="3">
        <f t="shared" si="11"/>
        <v>4.4300852595453473E-3</v>
      </c>
      <c r="Q47" s="3">
        <f t="shared" si="12"/>
        <v>1.6357567009928295E-3</v>
      </c>
      <c r="R47" s="3">
        <f t="shared" si="13"/>
        <v>4.8145292489256618E-4</v>
      </c>
      <c r="S47" s="3">
        <f t="shared" si="14"/>
        <v>3.9250669910494813E-4</v>
      </c>
      <c r="U47" s="3">
        <f t="shared" si="3"/>
        <v>-7.7324320050768626E-4</v>
      </c>
      <c r="V47" s="3">
        <f t="shared" si="4"/>
        <v>3.5119715714265485E-3</v>
      </c>
      <c r="W47" s="3">
        <f t="shared" si="5"/>
        <v>-4.1461338630490183E-3</v>
      </c>
      <c r="X47" s="3">
        <f t="shared" si="6"/>
        <v>2.142100112242435E-3</v>
      </c>
      <c r="Y47" s="3">
        <f t="shared" si="7"/>
        <v>-1.9750152839623697E-4</v>
      </c>
      <c r="Z47" s="3">
        <f t="shared" si="8"/>
        <v>3.3853501141303168E-3</v>
      </c>
      <c r="AB47">
        <f>SUM(U$2:U47)</f>
        <v>0.136230578769859</v>
      </c>
      <c r="AC47">
        <f>SUM(V$2:V47)</f>
        <v>0.21406799544413918</v>
      </c>
      <c r="AD47">
        <f>SUM(W$2:W47)</f>
        <v>6.928088065758789E-2</v>
      </c>
      <c r="AE47">
        <f>SUM(X$2:X47)</f>
        <v>0.17913216231094045</v>
      </c>
      <c r="AF47">
        <f>SUM(Y$2:Y47)</f>
        <v>6.2065127948759763E-2</v>
      </c>
      <c r="AG47">
        <f>SUM(Z$2:Z47)</f>
        <v>0.26067458998606036</v>
      </c>
    </row>
    <row r="48" spans="1:33" x14ac:dyDescent="0.35">
      <c r="A48" s="2">
        <v>44743</v>
      </c>
      <c r="B48">
        <v>4.5412714601378594</v>
      </c>
      <c r="C48">
        <v>4.5692462722023031</v>
      </c>
      <c r="D48">
        <v>4.5924082522638638</v>
      </c>
      <c r="E48">
        <v>4.5688428801088774</v>
      </c>
      <c r="F48">
        <v>4.5517053616465768</v>
      </c>
      <c r="G48">
        <v>4.5845287174812848</v>
      </c>
      <c r="H48">
        <v>4.5810144759887264</v>
      </c>
      <c r="I48">
        <v>4.5582044373606783</v>
      </c>
      <c r="J48">
        <v>4.5507312887405034</v>
      </c>
      <c r="L48" s="3">
        <f t="shared" si="1"/>
        <v>7.8259011004094099E-4</v>
      </c>
      <c r="M48" s="3">
        <f t="shared" si="2"/>
        <v>2.6149715089381874E-3</v>
      </c>
      <c r="N48" s="3">
        <f t="shared" si="9"/>
        <v>7.6018319921824877E-4</v>
      </c>
      <c r="O48" s="3">
        <f t="shared" si="10"/>
        <v>1.0886630069361459E-4</v>
      </c>
      <c r="P48" s="3">
        <f t="shared" si="11"/>
        <v>1.8711903128753253E-3</v>
      </c>
      <c r="Q48" s="3">
        <f t="shared" si="12"/>
        <v>1.5795073089222597E-3</v>
      </c>
      <c r="R48" s="3">
        <f t="shared" si="13"/>
        <v>2.8672571762850148E-4</v>
      </c>
      <c r="S48" s="3">
        <f t="shared" si="14"/>
        <v>8.9488357191400367E-5</v>
      </c>
      <c r="U48" s="3">
        <f t="shared" si="3"/>
        <v>2.2406910822692213E-5</v>
      </c>
      <c r="V48" s="3">
        <f t="shared" si="4"/>
        <v>2.5061052082445729E-3</v>
      </c>
      <c r="W48" s="3">
        <f t="shared" si="5"/>
        <v>-1.0886002028343842E-3</v>
      </c>
      <c r="X48" s="3">
        <f t="shared" si="6"/>
        <v>1.0354642000159277E-3</v>
      </c>
      <c r="Y48" s="3">
        <f t="shared" si="7"/>
        <v>4.9586439241243951E-4</v>
      </c>
      <c r="Z48" s="3">
        <f t="shared" si="8"/>
        <v>2.5254831517467868E-3</v>
      </c>
      <c r="AB48">
        <f>SUM(U$2:U48)</f>
        <v>0.1362529856806817</v>
      </c>
      <c r="AC48">
        <f>SUM(V$2:V48)</f>
        <v>0.21657410065238375</v>
      </c>
      <c r="AD48">
        <f>SUM(W$2:W48)</f>
        <v>6.8192280454753507E-2</v>
      </c>
      <c r="AE48">
        <f>SUM(X$2:X48)</f>
        <v>0.18016762651095639</v>
      </c>
      <c r="AF48">
        <f>SUM(Y$2:Y48)</f>
        <v>6.2560992341172197E-2</v>
      </c>
      <c r="AG48">
        <f>SUM(Z$2:Z48)</f>
        <v>0.26320007313780713</v>
      </c>
    </row>
    <row r="49" spans="1:33" x14ac:dyDescent="0.35">
      <c r="A49" s="2">
        <v>44774</v>
      </c>
      <c r="B49">
        <v>4.5589168014706294</v>
      </c>
      <c r="C49">
        <v>4.5840713204497296</v>
      </c>
      <c r="D49">
        <v>4.5883055465838858</v>
      </c>
      <c r="E49">
        <v>4.5868070855411869</v>
      </c>
      <c r="F49">
        <v>4.5167026244091808</v>
      </c>
      <c r="G49">
        <v>4.5822759292513382</v>
      </c>
      <c r="H49">
        <v>4.5645560731337067</v>
      </c>
      <c r="I49">
        <v>4.5577560289790648</v>
      </c>
      <c r="J49">
        <v>4.5561767824851698</v>
      </c>
      <c r="L49" s="3">
        <f t="shared" si="1"/>
        <v>6.3274982506991522E-4</v>
      </c>
      <c r="M49" s="3">
        <f t="shared" si="2"/>
        <v>8.6369833933195184E-4</v>
      </c>
      <c r="N49" s="3">
        <f t="shared" si="9"/>
        <v>7.7786794553639301E-4</v>
      </c>
      <c r="O49" s="3">
        <f t="shared" si="10"/>
        <v>1.7820367449753322E-3</v>
      </c>
      <c r="P49" s="3">
        <f t="shared" si="11"/>
        <v>5.4564885067548213E-4</v>
      </c>
      <c r="Q49" s="3">
        <f t="shared" si="12"/>
        <v>3.1801384889986801E-5</v>
      </c>
      <c r="R49" s="3">
        <f t="shared" si="13"/>
        <v>1.3473927771729579E-6</v>
      </c>
      <c r="S49" s="3">
        <f t="shared" si="14"/>
        <v>7.5077040406791302E-6</v>
      </c>
      <c r="U49" s="3">
        <f t="shared" si="3"/>
        <v>-1.4511812046647779E-4</v>
      </c>
      <c r="V49" s="3">
        <f t="shared" si="4"/>
        <v>-9.1833840564338031E-4</v>
      </c>
      <c r="W49" s="3">
        <f t="shared" si="5"/>
        <v>8.710097439443309E-5</v>
      </c>
      <c r="X49" s="3">
        <f t="shared" si="6"/>
        <v>8.3189695444196507E-4</v>
      </c>
      <c r="Y49" s="3">
        <f t="shared" si="7"/>
        <v>6.3140243229274228E-4</v>
      </c>
      <c r="Z49" s="3">
        <f t="shared" si="8"/>
        <v>8.5619063529127266E-4</v>
      </c>
      <c r="AB49">
        <f>SUM(U$2:U49)</f>
        <v>0.13610786756021523</v>
      </c>
      <c r="AC49">
        <f>SUM(V$2:V49)</f>
        <v>0.21565576224674038</v>
      </c>
      <c r="AD49">
        <f>SUM(W$2:W49)</f>
        <v>6.827938142914794E-2</v>
      </c>
      <c r="AE49">
        <f>SUM(X$2:X49)</f>
        <v>0.18099952346539835</v>
      </c>
      <c r="AF49">
        <f>SUM(Y$2:Y49)</f>
        <v>6.3192394773464944E-2</v>
      </c>
      <c r="AG49">
        <f>SUM(Z$2:Z49)</f>
        <v>0.26405626377309843</v>
      </c>
    </row>
    <row r="50" spans="1:33" x14ac:dyDescent="0.35">
      <c r="A50" s="2">
        <v>44805</v>
      </c>
      <c r="B50">
        <v>4.5409516136614414</v>
      </c>
      <c r="C50">
        <v>4.5804020006734438</v>
      </c>
      <c r="D50">
        <v>4.583452013283738</v>
      </c>
      <c r="E50">
        <v>4.5668690943971901</v>
      </c>
      <c r="F50">
        <v>4.4824116832283796</v>
      </c>
      <c r="G50">
        <v>4.5695353649884014</v>
      </c>
      <c r="H50">
        <v>4.5302308792876707</v>
      </c>
      <c r="I50">
        <v>4.5544753520460359</v>
      </c>
      <c r="J50">
        <v>4.5478865395597818</v>
      </c>
      <c r="L50" s="3">
        <f t="shared" si="1"/>
        <v>1.55633303539677E-3</v>
      </c>
      <c r="M50" s="3">
        <f t="shared" si="2"/>
        <v>1.8062839680549063E-3</v>
      </c>
      <c r="N50" s="3">
        <f t="shared" si="9"/>
        <v>6.7171580768790671E-4</v>
      </c>
      <c r="O50" s="3">
        <f t="shared" si="10"/>
        <v>3.4269234551077181E-3</v>
      </c>
      <c r="P50" s="3">
        <f t="shared" si="11"/>
        <v>8.1703083992148789E-4</v>
      </c>
      <c r="Q50" s="3">
        <f t="shared" si="12"/>
        <v>1.1493414551294964E-4</v>
      </c>
      <c r="R50" s="3">
        <f t="shared" si="13"/>
        <v>1.8289149989495548E-4</v>
      </c>
      <c r="S50" s="3">
        <f t="shared" si="14"/>
        <v>4.8093197215472938E-5</v>
      </c>
      <c r="U50" s="3">
        <f t="shared" si="3"/>
        <v>8.8461722770886324E-4</v>
      </c>
      <c r="V50" s="3">
        <f t="shared" si="4"/>
        <v>-1.6206394870528118E-3</v>
      </c>
      <c r="W50" s="3">
        <f t="shared" si="5"/>
        <v>7.3930219547528207E-4</v>
      </c>
      <c r="X50" s="3">
        <f t="shared" si="6"/>
        <v>1.6913498225419566E-3</v>
      </c>
      <c r="Y50" s="3">
        <f t="shared" si="7"/>
        <v>1.3734415355018145E-3</v>
      </c>
      <c r="Z50" s="3">
        <f t="shared" si="8"/>
        <v>1.7581907708394333E-3</v>
      </c>
      <c r="AB50">
        <f>SUM(U$2:U50)</f>
        <v>0.13699248478792408</v>
      </c>
      <c r="AC50">
        <f>SUM(V$2:V50)</f>
        <v>0.21403512275968756</v>
      </c>
      <c r="AD50">
        <f>SUM(W$2:W50)</f>
        <v>6.9018683624623225E-2</v>
      </c>
      <c r="AE50">
        <f>SUM(X$2:X50)</f>
        <v>0.18269087328794031</v>
      </c>
      <c r="AF50">
        <f>SUM(Y$2:Y50)</f>
        <v>6.4565836308966756E-2</v>
      </c>
      <c r="AG50">
        <f>SUM(Z$2:Z50)</f>
        <v>0.26581445454393787</v>
      </c>
    </row>
    <row r="51" spans="1:33" x14ac:dyDescent="0.35">
      <c r="A51" s="2">
        <v>44835</v>
      </c>
      <c r="B51">
        <v>4.5814920586335139</v>
      </c>
      <c r="C51">
        <v>4.5661903005774569</v>
      </c>
      <c r="D51">
        <v>4.5894943808899127</v>
      </c>
      <c r="E51">
        <v>4.5753960040078301</v>
      </c>
      <c r="F51">
        <v>4.5285936263151871</v>
      </c>
      <c r="G51">
        <v>4.5683611130954827</v>
      </c>
      <c r="H51">
        <v>4.5655517985385288</v>
      </c>
      <c r="I51">
        <v>4.559308042250346</v>
      </c>
      <c r="J51">
        <v>4.5698324256724963</v>
      </c>
      <c r="L51" s="3">
        <f t="shared" si="1"/>
        <v>2.3414379960610672E-4</v>
      </c>
      <c r="M51" s="3">
        <f t="shared" si="2"/>
        <v>6.4037161495254652E-5</v>
      </c>
      <c r="N51" s="3">
        <f t="shared" si="9"/>
        <v>3.7161881999321532E-5</v>
      </c>
      <c r="O51" s="3">
        <f t="shared" si="10"/>
        <v>2.7982441417366017E-3</v>
      </c>
      <c r="P51" s="3">
        <f t="shared" si="11"/>
        <v>1.7242173072274386E-4</v>
      </c>
      <c r="Q51" s="3">
        <f t="shared" si="12"/>
        <v>2.5409189189577665E-4</v>
      </c>
      <c r="R51" s="3">
        <f t="shared" si="13"/>
        <v>4.9213058288866249E-4</v>
      </c>
      <c r="S51" s="3">
        <f t="shared" si="14"/>
        <v>1.3594704078565004E-4</v>
      </c>
      <c r="U51" s="3">
        <f t="shared" si="3"/>
        <v>1.969819176067852E-4</v>
      </c>
      <c r="V51" s="3">
        <f t="shared" si="4"/>
        <v>-2.7342069802413472E-3</v>
      </c>
      <c r="W51" s="3">
        <f t="shared" si="5"/>
        <v>6.1722068883362857E-5</v>
      </c>
      <c r="X51" s="3">
        <f t="shared" si="6"/>
        <v>-1.9005473040052201E-4</v>
      </c>
      <c r="Y51" s="3">
        <f t="shared" si="7"/>
        <v>-2.5798678328255577E-4</v>
      </c>
      <c r="Z51" s="3">
        <f t="shared" si="8"/>
        <v>-7.1909879290395383E-5</v>
      </c>
      <c r="AB51">
        <f>SUM(U$2:U51)</f>
        <v>0.13718946670553087</v>
      </c>
      <c r="AC51">
        <f>SUM(V$2:V51)</f>
        <v>0.21130091577944621</v>
      </c>
      <c r="AD51">
        <f>SUM(W$2:W51)</f>
        <v>6.9080405693506583E-2</v>
      </c>
      <c r="AE51">
        <f>SUM(X$2:X51)</f>
        <v>0.1825008185575398</v>
      </c>
      <c r="AF51">
        <f>SUM(Y$2:Y51)</f>
        <v>6.4307849525684205E-2</v>
      </c>
      <c r="AG51">
        <f>SUM(Z$2:Z51)</f>
        <v>0.26574254466464747</v>
      </c>
    </row>
    <row r="52" spans="1:33" x14ac:dyDescent="0.35">
      <c r="A52" s="2">
        <v>44866</v>
      </c>
      <c r="B52">
        <v>4.6323961722416831</v>
      </c>
      <c r="C52">
        <v>4.6094047980033448</v>
      </c>
      <c r="D52">
        <v>4.5885351028594261</v>
      </c>
      <c r="E52">
        <v>4.5981547214085419</v>
      </c>
      <c r="F52">
        <v>4.5130977197660531</v>
      </c>
      <c r="G52">
        <v>4.5832387419039087</v>
      </c>
      <c r="H52">
        <v>4.5824421748798478</v>
      </c>
      <c r="I52">
        <v>4.5827179761853722</v>
      </c>
      <c r="J52">
        <v>4.5793895113676024</v>
      </c>
      <c r="L52" s="3">
        <f t="shared" si="1"/>
        <v>5.286032893673261E-4</v>
      </c>
      <c r="M52" s="3">
        <f t="shared" si="2"/>
        <v>1.9237934073551605E-3</v>
      </c>
      <c r="N52" s="3">
        <f t="shared" si="9"/>
        <v>1.1724769551584282E-3</v>
      </c>
      <c r="O52" s="3">
        <f t="shared" si="10"/>
        <v>1.4232120763080145E-2</v>
      </c>
      <c r="P52" s="3">
        <f t="shared" si="11"/>
        <v>2.4164529574131452E-3</v>
      </c>
      <c r="Q52" s="3">
        <f t="shared" si="12"/>
        <v>2.4954018524262437E-3</v>
      </c>
      <c r="R52" s="3">
        <f t="shared" si="13"/>
        <v>2.4679231634092591E-3</v>
      </c>
      <c r="S52" s="3">
        <f t="shared" si="14"/>
        <v>2.8097060970197958E-3</v>
      </c>
      <c r="U52" s="3">
        <f t="shared" si="3"/>
        <v>-6.4387366579110215E-4</v>
      </c>
      <c r="V52" s="3">
        <f t="shared" si="4"/>
        <v>-1.2308327355724985E-2</v>
      </c>
      <c r="W52" s="3">
        <f t="shared" si="5"/>
        <v>-1.8878496680458192E-3</v>
      </c>
      <c r="X52" s="3">
        <f t="shared" si="6"/>
        <v>-5.7160844507108321E-4</v>
      </c>
      <c r="Y52" s="3">
        <f t="shared" si="7"/>
        <v>-1.9393198740419331E-3</v>
      </c>
      <c r="Z52" s="3">
        <f t="shared" si="8"/>
        <v>-8.8591268966463528E-4</v>
      </c>
      <c r="AB52">
        <f>SUM(U$2:U52)</f>
        <v>0.13654559303973976</v>
      </c>
      <c r="AC52">
        <f>SUM(V$2:V52)</f>
        <v>0.19899258842372122</v>
      </c>
      <c r="AD52">
        <f>SUM(W$2:W52)</f>
        <v>6.7192556025460759E-2</v>
      </c>
      <c r="AE52">
        <f>SUM(X$2:X52)</f>
        <v>0.18192921011246871</v>
      </c>
      <c r="AF52">
        <f>SUM(Y$2:Y52)</f>
        <v>6.2368529651642274E-2</v>
      </c>
      <c r="AG52">
        <f>SUM(Z$2:Z52)</f>
        <v>0.26485663197498283</v>
      </c>
    </row>
    <row r="53" spans="1:33" x14ac:dyDescent="0.35">
      <c r="A53" s="2">
        <v>44896</v>
      </c>
      <c r="B53">
        <v>4.5804675733477191</v>
      </c>
      <c r="C53">
        <v>4.6342255359115789</v>
      </c>
      <c r="D53">
        <v>4.5873629486562972</v>
      </c>
      <c r="E53">
        <v>4.6109057223797087</v>
      </c>
      <c r="F53">
        <v>4.5366823415597617</v>
      </c>
      <c r="G53">
        <v>4.5956341557979883</v>
      </c>
      <c r="H53">
        <v>4.6062928288293774</v>
      </c>
      <c r="I53">
        <v>4.5879417051381397</v>
      </c>
      <c r="J53">
        <v>4.5848543749122079</v>
      </c>
      <c r="L53" s="3">
        <f t="shared" si="1"/>
        <v>2.8899185390173503E-3</v>
      </c>
      <c r="M53" s="3">
        <f t="shared" si="2"/>
        <v>4.7546200646148373E-5</v>
      </c>
      <c r="N53" s="3">
        <f t="shared" si="9"/>
        <v>9.2648091649360966E-4</v>
      </c>
      <c r="O53" s="3">
        <f t="shared" si="10"/>
        <v>1.9171465227251602E-3</v>
      </c>
      <c r="P53" s="3">
        <f t="shared" si="11"/>
        <v>2.3002522322081184E-4</v>
      </c>
      <c r="Q53" s="3">
        <f t="shared" si="12"/>
        <v>6.6694382069292001E-4</v>
      </c>
      <c r="R53" s="3">
        <f t="shared" si="13"/>
        <v>5.5862646020575205E-5</v>
      </c>
      <c r="S53" s="3">
        <f t="shared" si="14"/>
        <v>1.9244027966201248E-5</v>
      </c>
      <c r="U53" s="3">
        <f t="shared" si="3"/>
        <v>1.9634376225237406E-3</v>
      </c>
      <c r="V53" s="3">
        <f t="shared" si="4"/>
        <v>-1.8696003220790118E-3</v>
      </c>
      <c r="W53" s="3">
        <f t="shared" si="5"/>
        <v>2.6598933157965386E-3</v>
      </c>
      <c r="X53" s="3">
        <f t="shared" si="6"/>
        <v>-6.1939762004677168E-4</v>
      </c>
      <c r="Y53" s="3">
        <f t="shared" si="7"/>
        <v>2.8340558929967749E-3</v>
      </c>
      <c r="Z53" s="3">
        <f t="shared" si="8"/>
        <v>2.8302172679947125E-5</v>
      </c>
      <c r="AB53">
        <f>SUM(U$2:U53)</f>
        <v>0.1385090306622635</v>
      </c>
      <c r="AC53">
        <f>SUM(V$2:V53)</f>
        <v>0.19712298810164222</v>
      </c>
      <c r="AD53">
        <f>SUM(W$2:W53)</f>
        <v>6.9852449341257297E-2</v>
      </c>
      <c r="AE53">
        <f>SUM(X$2:X53)</f>
        <v>0.18130981249242192</v>
      </c>
      <c r="AF53">
        <f>SUM(Y$2:Y53)</f>
        <v>6.520258554463905E-2</v>
      </c>
      <c r="AG53">
        <f>SUM(Z$2:Z53)</f>
        <v>0.26488493414766279</v>
      </c>
    </row>
    <row r="54" spans="1:33" x14ac:dyDescent="0.35">
      <c r="A54" s="2">
        <v>44927</v>
      </c>
      <c r="B54">
        <v>4.5741953816886607</v>
      </c>
      <c r="C54">
        <v>4.563725755653385</v>
      </c>
      <c r="D54">
        <v>4.5800703432307683</v>
      </c>
      <c r="E54">
        <v>4.585513375912007</v>
      </c>
      <c r="F54">
        <v>4.5418119072308931</v>
      </c>
      <c r="G54">
        <v>4.6041006603715351</v>
      </c>
      <c r="H54">
        <v>4.6121683359869072</v>
      </c>
      <c r="I54">
        <v>4.5811052850914491</v>
      </c>
      <c r="J54">
        <v>4.5716638965497198</v>
      </c>
      <c r="L54" s="3">
        <f t="shared" si="1"/>
        <v>1.0961306931852237E-4</v>
      </c>
      <c r="M54" s="3">
        <f t="shared" si="2"/>
        <v>3.451517312124388E-5</v>
      </c>
      <c r="N54" s="3">
        <f t="shared" si="9"/>
        <v>1.2809699323970111E-4</v>
      </c>
      <c r="O54" s="3">
        <f t="shared" si="10"/>
        <v>1.0486894179568846E-3</v>
      </c>
      <c r="P54" s="3">
        <f t="shared" si="11"/>
        <v>8.9432569310038217E-4</v>
      </c>
      <c r="Q54" s="3">
        <f t="shared" si="12"/>
        <v>1.4419452581367206E-3</v>
      </c>
      <c r="R54" s="3">
        <f t="shared" si="13"/>
        <v>4.774676503586683E-5</v>
      </c>
      <c r="S54" s="3">
        <f t="shared" si="14"/>
        <v>6.4084170086784194E-6</v>
      </c>
      <c r="U54" s="3">
        <f t="shared" si="3"/>
        <v>-1.8483923921178746E-5</v>
      </c>
      <c r="V54" s="3">
        <f t="shared" si="4"/>
        <v>-1.0141742448356408E-3</v>
      </c>
      <c r="W54" s="3">
        <f t="shared" si="5"/>
        <v>-7.8471262378185984E-4</v>
      </c>
      <c r="X54" s="3">
        <f t="shared" si="6"/>
        <v>-1.4074300850154767E-3</v>
      </c>
      <c r="Y54" s="3">
        <f t="shared" si="7"/>
        <v>6.1866304282655544E-5</v>
      </c>
      <c r="Z54" s="3">
        <f t="shared" si="8"/>
        <v>2.8106756112565461E-5</v>
      </c>
      <c r="AB54">
        <f>SUM(U$2:U54)</f>
        <v>0.13849054673834232</v>
      </c>
      <c r="AC54">
        <f>SUM(V$2:V54)</f>
        <v>0.19610881385680659</v>
      </c>
      <c r="AD54">
        <f>SUM(W$2:W54)</f>
        <v>6.9067736717475431E-2</v>
      </c>
      <c r="AE54">
        <f>SUM(X$2:X54)</f>
        <v>0.17990238240740644</v>
      </c>
      <c r="AF54">
        <f>SUM(Y$2:Y54)</f>
        <v>6.5264451848921712E-2</v>
      </c>
      <c r="AG54">
        <f>SUM(Z$2:Z54)</f>
        <v>0.26491304090377538</v>
      </c>
    </row>
    <row r="55" spans="1:33" x14ac:dyDescent="0.35">
      <c r="A55" s="2">
        <v>44958</v>
      </c>
      <c r="B55">
        <v>4.6485169904914576</v>
      </c>
      <c r="C55">
        <v>4.6089429543269294</v>
      </c>
      <c r="D55">
        <v>4.5942228030903056</v>
      </c>
      <c r="E55">
        <v>4.6474902202674171</v>
      </c>
      <c r="F55">
        <v>4.6294763161624806</v>
      </c>
      <c r="G55">
        <v>4.6563850723194129</v>
      </c>
      <c r="H55">
        <v>4.663676428283491</v>
      </c>
      <c r="I55">
        <v>4.6511997480648768</v>
      </c>
      <c r="J55">
        <v>4.6070606242970911</v>
      </c>
      <c r="L55" s="3">
        <f t="shared" si="1"/>
        <v>1.5661043383513905E-3</v>
      </c>
      <c r="M55" s="3">
        <f t="shared" si="2"/>
        <v>2.9478587855514119E-3</v>
      </c>
      <c r="N55" s="3">
        <f t="shared" si="9"/>
        <v>1.0542570929762167E-6</v>
      </c>
      <c r="O55" s="3">
        <f t="shared" si="10"/>
        <v>3.6254727890216553E-4</v>
      </c>
      <c r="P55" s="3">
        <f t="shared" si="11"/>
        <v>6.1906711651400203E-5</v>
      </c>
      <c r="Q55" s="3">
        <f t="shared" si="12"/>
        <v>2.2980855417053159E-4</v>
      </c>
      <c r="R55" s="3">
        <f t="shared" si="13"/>
        <v>7.197188197737973E-6</v>
      </c>
      <c r="S55" s="3">
        <f t="shared" si="14"/>
        <v>1.7186302980414174E-3</v>
      </c>
      <c r="U55" s="3">
        <f t="shared" si="3"/>
        <v>1.5650500812584144E-3</v>
      </c>
      <c r="V55" s="3">
        <f t="shared" si="4"/>
        <v>2.5853115066492463E-3</v>
      </c>
      <c r="W55" s="3">
        <f t="shared" si="5"/>
        <v>1.5041976266999904E-3</v>
      </c>
      <c r="X55" s="3">
        <f t="shared" si="6"/>
        <v>2.7180502313808802E-3</v>
      </c>
      <c r="Y55" s="3">
        <f t="shared" si="7"/>
        <v>1.5589071501536525E-3</v>
      </c>
      <c r="Z55" s="3">
        <f t="shared" si="8"/>
        <v>1.2292284875099946E-3</v>
      </c>
      <c r="AB55">
        <f>SUM(U$2:U55)</f>
        <v>0.14005559681960073</v>
      </c>
      <c r="AC55">
        <f>SUM(V$2:V55)</f>
        <v>0.19869412536345585</v>
      </c>
      <c r="AD55">
        <f>SUM(W$2:W55)</f>
        <v>7.0571934344175427E-2</v>
      </c>
      <c r="AE55">
        <f>SUM(X$2:X55)</f>
        <v>0.18262043263878733</v>
      </c>
      <c r="AF55">
        <f>SUM(Y$2:Y55)</f>
        <v>6.6823358999075363E-2</v>
      </c>
      <c r="AG55">
        <f>SUM(Z$2:Z55)</f>
        <v>0.26614226939128538</v>
      </c>
    </row>
    <row r="56" spans="1:33" x14ac:dyDescent="0.35">
      <c r="A56" s="2">
        <v>44986</v>
      </c>
      <c r="B56">
        <v>4.8335798469748008</v>
      </c>
      <c r="C56">
        <v>4.6541048105460243</v>
      </c>
      <c r="D56">
        <v>4.6142822865085407</v>
      </c>
      <c r="E56">
        <v>4.7999121249158554</v>
      </c>
      <c r="F56">
        <v>4.7903854461619062</v>
      </c>
      <c r="G56">
        <v>4.7452650085185546</v>
      </c>
      <c r="H56">
        <v>4.742546377387872</v>
      </c>
      <c r="I56">
        <v>4.781424234407984</v>
      </c>
      <c r="J56">
        <v>4.7808531453435981</v>
      </c>
      <c r="L56" s="3">
        <f t="shared" si="1"/>
        <v>3.2211288701110646E-2</v>
      </c>
      <c r="M56" s="3">
        <f t="shared" si="2"/>
        <v>4.8091420026453023E-2</v>
      </c>
      <c r="N56" s="3">
        <f t="shared" si="9"/>
        <v>1.1335155086383997E-3</v>
      </c>
      <c r="O56" s="3">
        <f t="shared" si="10"/>
        <v>1.8657562615849903E-3</v>
      </c>
      <c r="P56" s="3">
        <f t="shared" si="11"/>
        <v>7.7995106915528653E-3</v>
      </c>
      <c r="Q56" s="3">
        <f t="shared" si="12"/>
        <v>8.2870925850342947E-3</v>
      </c>
      <c r="R56" s="3">
        <f t="shared" si="13"/>
        <v>2.720207922219896E-3</v>
      </c>
      <c r="S56" s="3">
        <f t="shared" si="14"/>
        <v>2.7801050649058781E-3</v>
      </c>
      <c r="U56" s="3">
        <f t="shared" si="3"/>
        <v>3.1077773192472246E-2</v>
      </c>
      <c r="V56" s="3">
        <f t="shared" si="4"/>
        <v>4.622566376486803E-2</v>
      </c>
      <c r="W56" s="3">
        <f t="shared" si="5"/>
        <v>2.441177800955778E-2</v>
      </c>
      <c r="X56" s="3">
        <f t="shared" si="6"/>
        <v>3.9804327441418728E-2</v>
      </c>
      <c r="Y56" s="3">
        <f t="shared" si="7"/>
        <v>2.949108077889075E-2</v>
      </c>
      <c r="Z56" s="3">
        <f t="shared" si="8"/>
        <v>4.5311314961547146E-2</v>
      </c>
      <c r="AB56">
        <f>SUM(U$2:U56)</f>
        <v>0.17113337001207296</v>
      </c>
      <c r="AC56">
        <f>SUM(V$2:V56)</f>
        <v>0.24491978912832388</v>
      </c>
      <c r="AD56">
        <f>SUM(W$2:W56)</f>
        <v>9.4983712353733207E-2</v>
      </c>
      <c r="AE56">
        <f>SUM(X$2:X56)</f>
        <v>0.22242476008020606</v>
      </c>
      <c r="AF56">
        <f>SUM(Y$2:Y56)</f>
        <v>9.631443977796611E-2</v>
      </c>
      <c r="AG56">
        <f>SUM(Z$2:Z56)</f>
        <v>0.31145358435283255</v>
      </c>
    </row>
    <row r="57" spans="1:33" x14ac:dyDescent="0.35">
      <c r="A57" s="2">
        <v>45017</v>
      </c>
      <c r="B57">
        <v>4.7403127799303846</v>
      </c>
      <c r="C57">
        <v>4.8157485843983796</v>
      </c>
      <c r="D57">
        <v>4.6029667836508086</v>
      </c>
      <c r="E57">
        <v>4.7202499404937681</v>
      </c>
      <c r="F57">
        <v>4.65427333686086</v>
      </c>
      <c r="G57">
        <v>4.7284823558855411</v>
      </c>
      <c r="H57">
        <v>4.6932624818237016</v>
      </c>
      <c r="I57">
        <v>4.7280045907562966</v>
      </c>
      <c r="J57">
        <v>4.7108274848426381</v>
      </c>
      <c r="L57" s="3">
        <f t="shared" si="1"/>
        <v>5.6905605957335787E-3</v>
      </c>
      <c r="M57" s="3">
        <f t="shared" si="2"/>
        <v>1.8863922694029304E-2</v>
      </c>
      <c r="N57" s="3">
        <f t="shared" si="9"/>
        <v>4.0251752625945287E-4</v>
      </c>
      <c r="O57" s="3">
        <f t="shared" si="10"/>
        <v>7.4027857637139647E-3</v>
      </c>
      <c r="P57" s="3">
        <f t="shared" si="11"/>
        <v>1.3995893308081048E-4</v>
      </c>
      <c r="Q57" s="3">
        <f t="shared" si="12"/>
        <v>2.2137305519277315E-3</v>
      </c>
      <c r="R57" s="3">
        <f t="shared" si="13"/>
        <v>1.5149152074513545E-4</v>
      </c>
      <c r="S57" s="3">
        <f t="shared" si="14"/>
        <v>8.6938262641148456E-4</v>
      </c>
      <c r="U57" s="3">
        <f t="shared" si="3"/>
        <v>5.2880430694741262E-3</v>
      </c>
      <c r="V57" s="3">
        <f t="shared" si="4"/>
        <v>1.1461136930315339E-2</v>
      </c>
      <c r="W57" s="3">
        <f t="shared" si="5"/>
        <v>5.5506016626527682E-3</v>
      </c>
      <c r="X57" s="3">
        <f t="shared" si="6"/>
        <v>1.6650192142101575E-2</v>
      </c>
      <c r="Y57" s="3">
        <f t="shared" si="7"/>
        <v>5.5390690749884432E-3</v>
      </c>
      <c r="Z57" s="3">
        <f t="shared" si="8"/>
        <v>1.7994540067617821E-2</v>
      </c>
      <c r="AB57">
        <f>SUM(U$2:U57)</f>
        <v>0.17642141308154707</v>
      </c>
      <c r="AC57">
        <f>SUM(V$2:V57)</f>
        <v>0.25638092605863921</v>
      </c>
      <c r="AD57">
        <f>SUM(W$2:W57)</f>
        <v>0.10053431401638598</v>
      </c>
      <c r="AE57">
        <f>SUM(X$2:X57)</f>
        <v>0.23907495222230762</v>
      </c>
      <c r="AF57">
        <f>SUM(Y$2:Y57)</f>
        <v>0.10185350885295455</v>
      </c>
      <c r="AG57">
        <f>SUM(Z$2:Z57)</f>
        <v>0.32944812442045035</v>
      </c>
    </row>
    <row r="58" spans="1:33" x14ac:dyDescent="0.35">
      <c r="A58" s="2">
        <v>45047</v>
      </c>
      <c r="B58">
        <v>4.6055701060094183</v>
      </c>
      <c r="C58">
        <v>4.5708157458637402</v>
      </c>
      <c r="D58">
        <v>4.5676220900796709</v>
      </c>
      <c r="E58">
        <v>4.6216342204151024</v>
      </c>
      <c r="F58">
        <v>4.5985501723581672</v>
      </c>
      <c r="G58">
        <v>4.6413177698540986</v>
      </c>
      <c r="H58">
        <v>4.6112818374045164</v>
      </c>
      <c r="I58">
        <v>4.6573153812677131</v>
      </c>
      <c r="J58">
        <v>4.5733305315153814</v>
      </c>
      <c r="L58" s="3">
        <f t="shared" si="1"/>
        <v>1.2078655491354997E-3</v>
      </c>
      <c r="M58" s="3">
        <f t="shared" si="2"/>
        <v>1.4400519130043617E-3</v>
      </c>
      <c r="N58" s="3">
        <f t="shared" si="9"/>
        <v>2.5805577163890792E-4</v>
      </c>
      <c r="O58" s="3">
        <f t="shared" si="10"/>
        <v>4.9279468467967415E-5</v>
      </c>
      <c r="P58" s="3">
        <f t="shared" si="11"/>
        <v>1.2778954703522639E-3</v>
      </c>
      <c r="Q58" s="3">
        <f t="shared" si="12"/>
        <v>3.2623875529748869E-5</v>
      </c>
      <c r="R58" s="3">
        <f t="shared" si="13"/>
        <v>2.677573511556691E-3</v>
      </c>
      <c r="S58" s="3">
        <f t="shared" si="14"/>
        <v>1.0393901635565557E-3</v>
      </c>
      <c r="U58" s="3">
        <f t="shared" si="3"/>
        <v>9.4980977749659177E-4</v>
      </c>
      <c r="V58" s="3">
        <f t="shared" si="4"/>
        <v>1.3907724445363942E-3</v>
      </c>
      <c r="W58" s="3">
        <f t="shared" si="5"/>
        <v>-7.0029921216764211E-5</v>
      </c>
      <c r="X58" s="3">
        <f t="shared" si="6"/>
        <v>1.4074280374746129E-3</v>
      </c>
      <c r="Y58" s="3">
        <f t="shared" si="7"/>
        <v>-1.4697079624211914E-3</v>
      </c>
      <c r="Z58" s="3">
        <f t="shared" si="8"/>
        <v>4.0066174944780597E-4</v>
      </c>
      <c r="AB58">
        <f>SUM(U$2:U58)</f>
        <v>0.17737122285904366</v>
      </c>
      <c r="AC58">
        <f>SUM(V$2:V58)</f>
        <v>0.25777169850317561</v>
      </c>
      <c r="AD58">
        <f>SUM(W$2:W58)</f>
        <v>0.10046428409516921</v>
      </c>
      <c r="AE58">
        <f>SUM(X$2:X58)</f>
        <v>0.24048238025978225</v>
      </c>
      <c r="AF58">
        <f>SUM(Y$2:Y58)</f>
        <v>0.10038380089053336</v>
      </c>
      <c r="AG58">
        <f>SUM(Z$2:Z58)</f>
        <v>0.32984878616989816</v>
      </c>
    </row>
    <row r="59" spans="1:33" x14ac:dyDescent="0.35">
      <c r="A59" s="2">
        <v>45078</v>
      </c>
      <c r="B59">
        <v>4.5673644712521924</v>
      </c>
      <c r="C59">
        <v>4.5967321682098046</v>
      </c>
      <c r="D59">
        <v>4.5739568875108754</v>
      </c>
      <c r="E59">
        <v>4.5858433986658618</v>
      </c>
      <c r="F59">
        <v>4.5600500330314073</v>
      </c>
      <c r="G59">
        <v>4.6016082946127908</v>
      </c>
      <c r="H59">
        <v>4.5624973665498896</v>
      </c>
      <c r="I59">
        <v>4.5642990515067474</v>
      </c>
      <c r="J59">
        <v>4.5462898152208187</v>
      </c>
      <c r="L59" s="3">
        <f t="shared" si="1"/>
        <v>8.6246162459414552E-4</v>
      </c>
      <c r="M59" s="3">
        <f t="shared" si="2"/>
        <v>4.3459952127748089E-5</v>
      </c>
      <c r="N59" s="3">
        <f t="shared" si="9"/>
        <v>3.4147075835966285E-4</v>
      </c>
      <c r="O59" s="3">
        <f t="shared" si="10"/>
        <v>5.3501006485680958E-5</v>
      </c>
      <c r="P59" s="3">
        <f t="shared" si="11"/>
        <v>1.172639438351864E-3</v>
      </c>
      <c r="Q59" s="3">
        <f t="shared" si="12"/>
        <v>2.3688708183177855E-5</v>
      </c>
      <c r="R59" s="3">
        <f t="shared" si="13"/>
        <v>9.396798215763731E-6</v>
      </c>
      <c r="S59" s="3">
        <f t="shared" si="14"/>
        <v>4.4414112684071615E-4</v>
      </c>
      <c r="U59" s="3">
        <f t="shared" si="3"/>
        <v>5.2099086623448262E-4</v>
      </c>
      <c r="V59" s="3">
        <f t="shared" si="4"/>
        <v>-1.0041054357932869E-5</v>
      </c>
      <c r="W59" s="3">
        <f t="shared" si="5"/>
        <v>-3.1017781375771846E-4</v>
      </c>
      <c r="X59" s="3">
        <f t="shared" si="6"/>
        <v>1.9771243944570233E-5</v>
      </c>
      <c r="Y59" s="3">
        <f t="shared" si="7"/>
        <v>8.530648263783818E-4</v>
      </c>
      <c r="Z59" s="3">
        <f t="shared" si="8"/>
        <v>-4.0068117471296806E-4</v>
      </c>
      <c r="AB59">
        <f>SUM(U$2:U59)</f>
        <v>0.17789221372527814</v>
      </c>
      <c r="AC59">
        <f>SUM(V$2:V59)</f>
        <v>0.25776165744881768</v>
      </c>
      <c r="AD59">
        <f>SUM(W$2:W59)</f>
        <v>0.10015410628141148</v>
      </c>
      <c r="AE59">
        <f>SUM(X$2:X59)</f>
        <v>0.24050215150372681</v>
      </c>
      <c r="AF59">
        <f>SUM(Y$2:Y59)</f>
        <v>0.10123686571691175</v>
      </c>
      <c r="AG59">
        <f>SUM(Z$2:Z59)</f>
        <v>0.32944810499518518</v>
      </c>
    </row>
    <row r="60" spans="1:33" x14ac:dyDescent="0.35">
      <c r="A60" s="2">
        <v>45108</v>
      </c>
      <c r="B60">
        <v>4.5605911425901242</v>
      </c>
      <c r="C60">
        <v>4.5696190787507822</v>
      </c>
      <c r="D60">
        <v>4.6038767386382791</v>
      </c>
      <c r="E60">
        <v>4.5926388250053503</v>
      </c>
      <c r="F60">
        <v>4.5715381031936726</v>
      </c>
      <c r="G60">
        <v>4.5833982574553982</v>
      </c>
      <c r="H60">
        <v>4.552221236495547</v>
      </c>
      <c r="I60">
        <v>4.5601612719042226</v>
      </c>
      <c r="J60">
        <v>4.5448678116992109</v>
      </c>
      <c r="L60" s="3">
        <f t="shared" si="1"/>
        <v>8.150363132091633E-5</v>
      </c>
      <c r="M60" s="3">
        <f t="shared" si="2"/>
        <v>1.8736428252440389E-3</v>
      </c>
      <c r="N60" s="3">
        <f t="shared" si="9"/>
        <v>1.0270539481871885E-3</v>
      </c>
      <c r="O60" s="3">
        <f t="shared" si="10"/>
        <v>1.1983594645564039E-4</v>
      </c>
      <c r="P60" s="3">
        <f t="shared" si="11"/>
        <v>5.2016448847780144E-4</v>
      </c>
      <c r="Q60" s="3">
        <f t="shared" si="12"/>
        <v>7.0055328032040854E-5</v>
      </c>
      <c r="R60" s="3">
        <f t="shared" si="13"/>
        <v>1.8478880659752249E-7</v>
      </c>
      <c r="S60" s="3">
        <f t="shared" si="14"/>
        <v>2.4722313430514738E-4</v>
      </c>
      <c r="U60" s="3">
        <f t="shared" si="3"/>
        <v>-9.4555031686627212E-4</v>
      </c>
      <c r="V60" s="3">
        <f t="shared" si="4"/>
        <v>1.7538068787883985E-3</v>
      </c>
      <c r="W60" s="3">
        <f t="shared" si="5"/>
        <v>-4.3866085715688508E-4</v>
      </c>
      <c r="X60" s="3">
        <f t="shared" si="6"/>
        <v>1.8035874972119981E-3</v>
      </c>
      <c r="Y60" s="3">
        <f t="shared" si="7"/>
        <v>8.1318842514318805E-5</v>
      </c>
      <c r="Z60" s="3">
        <f t="shared" si="8"/>
        <v>1.6264196909388916E-3</v>
      </c>
      <c r="AB60">
        <f>SUM(U$2:U60)</f>
        <v>0.17694666340841186</v>
      </c>
      <c r="AC60">
        <f>SUM(V$2:V60)</f>
        <v>0.25951546432760608</v>
      </c>
      <c r="AD60">
        <f>SUM(W$2:W60)</f>
        <v>9.9715445424254603E-2</v>
      </c>
      <c r="AE60">
        <f>SUM(X$2:X60)</f>
        <v>0.2423057390009388</v>
      </c>
      <c r="AF60">
        <f>SUM(Y$2:Y60)</f>
        <v>0.10131818455942607</v>
      </c>
      <c r="AG60">
        <f>SUM(Z$2:Z60)</f>
        <v>0.33107452468612408</v>
      </c>
    </row>
    <row r="61" spans="1:33" x14ac:dyDescent="0.35">
      <c r="A61" s="2">
        <v>45139</v>
      </c>
      <c r="B61">
        <v>4.5953218499332769</v>
      </c>
      <c r="C61">
        <v>4.607956901219465</v>
      </c>
      <c r="D61">
        <v>4.5869872932395062</v>
      </c>
      <c r="E61">
        <v>4.5721128802604749</v>
      </c>
      <c r="F61">
        <v>4.55796738088595</v>
      </c>
      <c r="G61">
        <v>4.5809578000312428</v>
      </c>
      <c r="H61">
        <v>4.5495052964462159</v>
      </c>
      <c r="I61">
        <v>4.5603483856870248</v>
      </c>
      <c r="J61">
        <v>4.5398196439612217</v>
      </c>
      <c r="L61" s="3">
        <f t="shared" si="1"/>
        <v>1.5964452100460449E-4</v>
      </c>
      <c r="M61" s="3">
        <f t="shared" si="2"/>
        <v>6.9464835281677996E-5</v>
      </c>
      <c r="N61" s="3">
        <f t="shared" si="9"/>
        <v>5.3865627327304058E-4</v>
      </c>
      <c r="O61" s="3">
        <f t="shared" si="10"/>
        <v>1.3953563578077009E-3</v>
      </c>
      <c r="P61" s="3">
        <f t="shared" si="11"/>
        <v>2.0632592958812594E-4</v>
      </c>
      <c r="Q61" s="3">
        <f t="shared" si="12"/>
        <v>2.099156573432715E-3</v>
      </c>
      <c r="R61" s="3">
        <f t="shared" si="13"/>
        <v>1.2231432013838689E-3</v>
      </c>
      <c r="S61" s="3">
        <f t="shared" si="14"/>
        <v>3.080494867764432E-3</v>
      </c>
      <c r="U61" s="3">
        <f t="shared" si="3"/>
        <v>-3.7901175226843608E-4</v>
      </c>
      <c r="V61" s="3">
        <f t="shared" si="4"/>
        <v>-1.3258915225260229E-3</v>
      </c>
      <c r="W61" s="3">
        <f t="shared" si="5"/>
        <v>-4.668140858352145E-5</v>
      </c>
      <c r="X61" s="3">
        <f t="shared" si="6"/>
        <v>-2.029691738151037E-3</v>
      </c>
      <c r="Y61" s="3">
        <f t="shared" si="7"/>
        <v>-1.0634986803792644E-3</v>
      </c>
      <c r="Z61" s="3">
        <f t="shared" si="8"/>
        <v>-3.0110300324827539E-3</v>
      </c>
      <c r="AB61">
        <f>SUM(U$2:U61)</f>
        <v>0.17656765165614344</v>
      </c>
      <c r="AC61">
        <f>SUM(V$2:V61)</f>
        <v>0.25818957280508004</v>
      </c>
      <c r="AD61">
        <f>SUM(W$2:W61)</f>
        <v>9.9668764015671082E-2</v>
      </c>
      <c r="AE61">
        <f>SUM(X$2:X61)</f>
        <v>0.24027604726278776</v>
      </c>
      <c r="AF61">
        <f>SUM(Y$2:Y61)</f>
        <v>0.1002546858790468</v>
      </c>
      <c r="AG61">
        <f>SUM(Z$2:Z61)</f>
        <v>0.32806349465364132</v>
      </c>
    </row>
    <row r="62" spans="1:33" x14ac:dyDescent="0.35">
      <c r="A62" s="2">
        <v>45170</v>
      </c>
      <c r="B62">
        <v>4.537854478703224</v>
      </c>
      <c r="C62">
        <v>4.5963064521562931</v>
      </c>
      <c r="D62">
        <v>4.5864630230159316</v>
      </c>
      <c r="E62">
        <v>4.5816612222739304</v>
      </c>
      <c r="F62">
        <v>4.5526142154473446</v>
      </c>
      <c r="G62">
        <v>4.5639270606153053</v>
      </c>
      <c r="H62">
        <v>4.5453145860797726</v>
      </c>
      <c r="I62">
        <v>4.5666086745947103</v>
      </c>
      <c r="J62">
        <v>4.5420111212116838</v>
      </c>
      <c r="L62" s="3">
        <f t="shared" si="1"/>
        <v>3.4166332005582914E-3</v>
      </c>
      <c r="M62" s="3">
        <f t="shared" si="2"/>
        <v>2.3627905802004541E-3</v>
      </c>
      <c r="N62" s="3">
        <f t="shared" si="9"/>
        <v>1.9190307822696223E-3</v>
      </c>
      <c r="O62" s="3">
        <f t="shared" si="10"/>
        <v>2.1784982875574276E-4</v>
      </c>
      <c r="P62" s="3">
        <f t="shared" si="11"/>
        <v>6.7977952756218809E-4</v>
      </c>
      <c r="Q62" s="3">
        <f t="shared" si="12"/>
        <v>5.565320206963429E-5</v>
      </c>
      <c r="R62" s="3">
        <f t="shared" si="13"/>
        <v>8.2680378136596832E-4</v>
      </c>
      <c r="S62" s="3">
        <f t="shared" si="14"/>
        <v>1.7277676943135127E-5</v>
      </c>
      <c r="U62" s="3">
        <f t="shared" si="3"/>
        <v>1.4976024182886691E-3</v>
      </c>
      <c r="V62" s="3">
        <f t="shared" si="4"/>
        <v>2.1449407514447113E-3</v>
      </c>
      <c r="W62" s="3">
        <f t="shared" si="5"/>
        <v>2.7368536729961033E-3</v>
      </c>
      <c r="X62" s="3">
        <f t="shared" si="6"/>
        <v>2.30713737813082E-3</v>
      </c>
      <c r="Y62" s="3">
        <f t="shared" si="7"/>
        <v>2.5898294191923233E-3</v>
      </c>
      <c r="Z62" s="3">
        <f t="shared" si="8"/>
        <v>2.3455129032573189E-3</v>
      </c>
      <c r="AB62">
        <f>SUM(U$2:U62)</f>
        <v>0.17806525407443211</v>
      </c>
      <c r="AC62">
        <f>SUM(V$2:V62)</f>
        <v>0.26033451355652476</v>
      </c>
      <c r="AD62">
        <f>SUM(W$2:W62)</f>
        <v>0.10240561768866718</v>
      </c>
      <c r="AE62">
        <f>SUM(X$2:X62)</f>
        <v>0.24258318464091858</v>
      </c>
      <c r="AF62">
        <f>SUM(Y$2:Y62)</f>
        <v>0.10284451529823913</v>
      </c>
      <c r="AG62">
        <f>SUM(Z$2:Z62)</f>
        <v>0.33040900755689862</v>
      </c>
    </row>
    <row r="63" spans="1:33" x14ac:dyDescent="0.35">
      <c r="A63" s="2">
        <v>45200</v>
      </c>
      <c r="B63">
        <v>4.5857834721879014</v>
      </c>
      <c r="C63">
        <v>4.5536901539094634</v>
      </c>
      <c r="D63">
        <v>4.5858797765573334</v>
      </c>
      <c r="E63">
        <v>4.587624661428066</v>
      </c>
      <c r="F63">
        <v>4.5899378014253989</v>
      </c>
      <c r="G63">
        <v>4.5849548291493498</v>
      </c>
      <c r="H63">
        <v>4.5679239450240319</v>
      </c>
      <c r="I63">
        <v>4.5745954955120878</v>
      </c>
      <c r="J63">
        <v>4.5508213535579829</v>
      </c>
      <c r="L63" s="3">
        <f t="shared" si="1"/>
        <v>1.0299810781211212E-3</v>
      </c>
      <c r="M63" s="3">
        <f t="shared" si="2"/>
        <v>9.274531571690612E-9</v>
      </c>
      <c r="N63" s="3">
        <f t="shared" si="9"/>
        <v>3.3899778180980122E-6</v>
      </c>
      <c r="O63" s="3">
        <f t="shared" si="10"/>
        <v>1.7258451413526381E-5</v>
      </c>
      <c r="P63" s="3">
        <f t="shared" si="11"/>
        <v>6.8664928533997644E-7</v>
      </c>
      <c r="Q63" s="3">
        <f t="shared" si="12"/>
        <v>3.1896271051699311E-4</v>
      </c>
      <c r="R63" s="3">
        <f t="shared" si="13"/>
        <v>1.2517082209854947E-4</v>
      </c>
      <c r="S63" s="3">
        <f t="shared" si="14"/>
        <v>1.2223497390924938E-3</v>
      </c>
      <c r="U63" s="3">
        <f t="shared" si="3"/>
        <v>1.0265911003030231E-3</v>
      </c>
      <c r="V63" s="3">
        <f t="shared" si="4"/>
        <v>-1.7249176881954691E-5</v>
      </c>
      <c r="W63" s="3">
        <f t="shared" si="5"/>
        <v>1.0292944288357812E-3</v>
      </c>
      <c r="X63" s="3">
        <f t="shared" si="6"/>
        <v>-3.189534359854214E-4</v>
      </c>
      <c r="Y63" s="3">
        <f t="shared" si="7"/>
        <v>9.0481025602257177E-4</v>
      </c>
      <c r="Z63" s="3">
        <f t="shared" si="8"/>
        <v>-1.222340464560922E-3</v>
      </c>
      <c r="AB63">
        <f>SUM(U$2:U63)</f>
        <v>0.17909184517473514</v>
      </c>
      <c r="AC63">
        <f>SUM(V$2:V63)</f>
        <v>0.26031726437964281</v>
      </c>
      <c r="AD63">
        <f>SUM(W$2:W63)</f>
        <v>0.10343491211750297</v>
      </c>
      <c r="AE63">
        <f>SUM(X$2:X63)</f>
        <v>0.24226423120493315</v>
      </c>
      <c r="AF63">
        <f>SUM(Y$2:Y63)</f>
        <v>0.1037493255542617</v>
      </c>
      <c r="AG63">
        <f>SUM(Z$2:Z63)</f>
        <v>0.32918666709233768</v>
      </c>
    </row>
    <row r="64" spans="1:33" x14ac:dyDescent="0.35">
      <c r="A64" s="2">
        <v>45231</v>
      </c>
      <c r="B64">
        <v>4.5983469606399661</v>
      </c>
      <c r="C64">
        <v>4.6294753561231392</v>
      </c>
      <c r="D64">
        <v>4.5868892927679106</v>
      </c>
      <c r="E64">
        <v>4.614439667243122</v>
      </c>
      <c r="F64">
        <v>4.6198852113638553</v>
      </c>
      <c r="G64">
        <v>4.6152673084702016</v>
      </c>
      <c r="H64">
        <v>4.6028520935066402</v>
      </c>
      <c r="I64">
        <v>4.5914631540041508</v>
      </c>
      <c r="J64">
        <v>4.577083765990829</v>
      </c>
      <c r="L64" s="3">
        <f t="shared" si="1"/>
        <v>9.6897700535683421E-4</v>
      </c>
      <c r="M64" s="3">
        <f t="shared" si="2"/>
        <v>1.3127815306633253E-4</v>
      </c>
      <c r="N64" s="3">
        <f t="shared" si="9"/>
        <v>2.5897520581526012E-4</v>
      </c>
      <c r="O64" s="3">
        <f t="shared" si="10"/>
        <v>4.6389624424511637E-4</v>
      </c>
      <c r="P64" s="3">
        <f t="shared" si="11"/>
        <v>2.8629817069615685E-4</v>
      </c>
      <c r="Q64" s="3">
        <f t="shared" si="12"/>
        <v>2.0296222146387091E-5</v>
      </c>
      <c r="R64" s="3">
        <f t="shared" si="13"/>
        <v>4.7386793799293743E-5</v>
      </c>
      <c r="S64" s="3">
        <f t="shared" si="14"/>
        <v>4.5212344668709104E-4</v>
      </c>
      <c r="U64" s="3">
        <f t="shared" si="3"/>
        <v>7.1000179954157404E-4</v>
      </c>
      <c r="V64" s="3">
        <f t="shared" si="4"/>
        <v>-3.3261809117878384E-4</v>
      </c>
      <c r="W64" s="3">
        <f t="shared" si="5"/>
        <v>6.8267883466067731E-4</v>
      </c>
      <c r="X64" s="3">
        <f t="shared" si="6"/>
        <v>1.1098193091994545E-4</v>
      </c>
      <c r="Y64" s="3">
        <f t="shared" si="7"/>
        <v>9.2159021155754049E-4</v>
      </c>
      <c r="Z64" s="3">
        <f t="shared" si="8"/>
        <v>-3.2084529362075851E-4</v>
      </c>
      <c r="AB64">
        <f>SUM(U$2:U64)</f>
        <v>0.17980184697427673</v>
      </c>
      <c r="AC64">
        <f>SUM(V$2:V64)</f>
        <v>0.25998464628846402</v>
      </c>
      <c r="AD64">
        <f>SUM(W$2:W64)</f>
        <v>0.10411759095216365</v>
      </c>
      <c r="AE64">
        <f>SUM(X$2:X64)</f>
        <v>0.24237521313585308</v>
      </c>
      <c r="AF64">
        <f>SUM(Y$2:Y64)</f>
        <v>0.10467091576581923</v>
      </c>
      <c r="AG64">
        <f>SUM(Z$2:Z64)</f>
        <v>0.32886582179871693</v>
      </c>
    </row>
    <row r="65" spans="1:33" x14ac:dyDescent="0.35">
      <c r="A65" s="2">
        <v>45261</v>
      </c>
      <c r="B65">
        <v>4.5765649289777572</v>
      </c>
      <c r="C65">
        <v>4.5934754551930839</v>
      </c>
      <c r="D65">
        <v>4.5873457526842714</v>
      </c>
      <c r="E65">
        <v>4.6263982365105552</v>
      </c>
      <c r="F65">
        <v>4.5907198124396693</v>
      </c>
      <c r="G65">
        <v>4.6367794477023754</v>
      </c>
      <c r="H65">
        <v>4.607709970027134</v>
      </c>
      <c r="I65">
        <v>4.5840260639585191</v>
      </c>
      <c r="J65">
        <v>4.5755230087620236</v>
      </c>
      <c r="L65" s="3">
        <f t="shared" si="1"/>
        <v>2.8596589687924909E-4</v>
      </c>
      <c r="M65" s="3">
        <f t="shared" si="2"/>
        <v>1.1622615979093685E-4</v>
      </c>
      <c r="N65" s="3">
        <f t="shared" si="9"/>
        <v>2.4833585396584128E-3</v>
      </c>
      <c r="O65" s="3">
        <f t="shared" si="10"/>
        <v>2.0036072582031185E-4</v>
      </c>
      <c r="P65" s="3">
        <f t="shared" si="11"/>
        <v>3.6257882652373885E-3</v>
      </c>
      <c r="Q65" s="3">
        <f t="shared" si="12"/>
        <v>9.7001358196736377E-4</v>
      </c>
      <c r="R65" s="3">
        <f t="shared" si="13"/>
        <v>5.5668535201147997E-5</v>
      </c>
      <c r="S65" s="3">
        <f t="shared" si="14"/>
        <v>1.0855977359545237E-6</v>
      </c>
      <c r="U65" s="3">
        <f t="shared" si="3"/>
        <v>-2.1973926427791635E-3</v>
      </c>
      <c r="V65" s="3">
        <f t="shared" si="4"/>
        <v>-8.4134566029375E-5</v>
      </c>
      <c r="W65" s="3">
        <f t="shared" si="5"/>
        <v>-3.3398223683581392E-3</v>
      </c>
      <c r="X65" s="3">
        <f t="shared" si="6"/>
        <v>-8.537874221764269E-4</v>
      </c>
      <c r="Y65" s="3">
        <f t="shared" si="7"/>
        <v>2.3029736167810109E-4</v>
      </c>
      <c r="Z65" s="3">
        <f t="shared" si="8"/>
        <v>1.1514056205498233E-4</v>
      </c>
      <c r="AB65">
        <f>SUM(U$2:U65)</f>
        <v>0.17760445433149757</v>
      </c>
      <c r="AC65">
        <f>SUM(V$2:V65)</f>
        <v>0.25990051172243467</v>
      </c>
      <c r="AD65">
        <f>SUM(W$2:W65)</f>
        <v>0.10077776858380551</v>
      </c>
      <c r="AE65">
        <f>SUM(X$2:X65)</f>
        <v>0.24152142571367666</v>
      </c>
      <c r="AF65">
        <f>SUM(Y$2:Y65)</f>
        <v>0.10490121312749733</v>
      </c>
      <c r="AG65">
        <f>SUM(Z$2:Z65)</f>
        <v>0.3289809623607719</v>
      </c>
    </row>
    <row r="66" spans="1:33" x14ac:dyDescent="0.35">
      <c r="A66" s="2">
        <v>45292</v>
      </c>
      <c r="B66">
        <v>4.5992527122240539</v>
      </c>
      <c r="C66">
        <v>4.5854006261126568</v>
      </c>
      <c r="D66">
        <v>4.5885326797357502</v>
      </c>
      <c r="E66">
        <v>4.5773741926203124</v>
      </c>
      <c r="F66">
        <v>4.5904025791008394</v>
      </c>
      <c r="G66">
        <v>4.6172631337841104</v>
      </c>
      <c r="H66">
        <v>4.6144417666211419</v>
      </c>
      <c r="I66">
        <v>4.5868189146657841</v>
      </c>
      <c r="J66">
        <v>4.575309494815607</v>
      </c>
      <c r="L66" s="3">
        <f t="shared" si="1"/>
        <v>1.9188028963756042E-4</v>
      </c>
      <c r="M66" s="3">
        <f t="shared" si="2"/>
        <v>1.1491909655028608E-4</v>
      </c>
      <c r="N66" s="3">
        <f t="shared" si="9"/>
        <v>4.786696200512981E-4</v>
      </c>
      <c r="O66" s="3">
        <f t="shared" si="10"/>
        <v>7.8324856298618022E-5</v>
      </c>
      <c r="P66" s="3">
        <f t="shared" si="11"/>
        <v>3.2437528477094799E-4</v>
      </c>
      <c r="Q66" s="3">
        <f t="shared" si="12"/>
        <v>2.3070737347770026E-4</v>
      </c>
      <c r="R66" s="3">
        <f t="shared" si="13"/>
        <v>1.5459932172003573E-4</v>
      </c>
      <c r="S66" s="3">
        <f t="shared" si="14"/>
        <v>5.7327765986815227E-4</v>
      </c>
      <c r="U66" s="3">
        <f t="shared" si="3"/>
        <v>-2.8678933041373768E-4</v>
      </c>
      <c r="V66" s="3">
        <f t="shared" si="4"/>
        <v>3.6594240251668056E-5</v>
      </c>
      <c r="W66" s="3">
        <f t="shared" si="5"/>
        <v>-1.3249499513338757E-4</v>
      </c>
      <c r="X66" s="3">
        <f t="shared" si="6"/>
        <v>-1.1578827692741418E-4</v>
      </c>
      <c r="Y66" s="3">
        <f t="shared" si="7"/>
        <v>3.728096791752469E-5</v>
      </c>
      <c r="Z66" s="3">
        <f t="shared" si="8"/>
        <v>-4.5835856331786617E-4</v>
      </c>
      <c r="AB66">
        <f>SUM(U$2:U66)</f>
        <v>0.17731766500108384</v>
      </c>
      <c r="AC66">
        <f>SUM(V$2:V66)</f>
        <v>0.25993710596268632</v>
      </c>
      <c r="AD66">
        <f>SUM(W$2:W66)</f>
        <v>0.10064527358867212</v>
      </c>
      <c r="AE66">
        <f>SUM(X$2:X66)</f>
        <v>0.24140563743674925</v>
      </c>
      <c r="AF66">
        <f>SUM(Y$2:Y66)</f>
        <v>0.10493849409541485</v>
      </c>
      <c r="AG66">
        <f>SUM(Z$2:Z66)</f>
        <v>0.32852260379745402</v>
      </c>
    </row>
    <row r="67" spans="1:33" x14ac:dyDescent="0.35">
      <c r="A67" s="2">
        <v>45323</v>
      </c>
      <c r="B67">
        <v>4.7313622112258509</v>
      </c>
      <c r="C67">
        <v>4.6108346664538127</v>
      </c>
      <c r="D67">
        <v>4.5901755461616114</v>
      </c>
      <c r="E67">
        <v>4.6616962781669828</v>
      </c>
      <c r="F67">
        <v>4.6757232846269314</v>
      </c>
      <c r="G67">
        <v>4.6685140255943258</v>
      </c>
      <c r="H67">
        <v>4.6628218583502088</v>
      </c>
      <c r="I67">
        <v>4.653963499804993</v>
      </c>
      <c r="J67">
        <v>4.6525688363777302</v>
      </c>
      <c r="L67" s="3">
        <f t="shared" ref="L67:L82" si="15">(C67-$B67)^2</f>
        <v>1.4526889048775672E-2</v>
      </c>
      <c r="M67" s="3">
        <f t="shared" ref="M67:M82" si="16">(D67-$B67)^2</f>
        <v>1.9933674391961743E-2</v>
      </c>
      <c r="N67" s="3">
        <f t="shared" si="9"/>
        <v>4.8533422289626822E-3</v>
      </c>
      <c r="O67" s="3">
        <f t="shared" si="10"/>
        <v>3.0956901530799458E-3</v>
      </c>
      <c r="P67" s="3">
        <f t="shared" si="11"/>
        <v>3.9498944371746322E-3</v>
      </c>
      <c r="Q67" s="3">
        <f t="shared" si="12"/>
        <v>4.6977799723175381E-3</v>
      </c>
      <c r="R67" s="3">
        <f t="shared" si="13"/>
        <v>5.9905605296092321E-3</v>
      </c>
      <c r="S67" s="3">
        <f t="shared" si="14"/>
        <v>6.2083959199564533E-3</v>
      </c>
      <c r="U67" s="3">
        <f t="shared" ref="U67:U82" si="17">$L67-N67</f>
        <v>9.6735468198129899E-3</v>
      </c>
      <c r="V67" s="3">
        <f t="shared" ref="V67:V82" si="18">$M67-O67</f>
        <v>1.6837984238881797E-2</v>
      </c>
      <c r="W67" s="3">
        <f t="shared" ref="W67:W82" si="19">$L67-P67</f>
        <v>1.057699461160104E-2</v>
      </c>
      <c r="X67" s="3">
        <f t="shared" ref="X67:X82" si="20">$M67-Q67</f>
        <v>1.5235894419644205E-2</v>
      </c>
      <c r="Y67" s="3">
        <f t="shared" ref="Y67:Y82" si="21">$L67-R67</f>
        <v>8.53632851916644E-3</v>
      </c>
      <c r="Z67" s="3">
        <f t="shared" ref="Z67:Z82" si="22">$M67-S67</f>
        <v>1.3725278472005289E-2</v>
      </c>
      <c r="AB67">
        <f>SUM(U$2:U67)</f>
        <v>0.18699121182089684</v>
      </c>
      <c r="AC67">
        <f>SUM(V$2:V67)</f>
        <v>0.2767750902015681</v>
      </c>
      <c r="AD67">
        <f>SUM(W$2:W67)</f>
        <v>0.11122226820027316</v>
      </c>
      <c r="AE67">
        <f>SUM(X$2:X67)</f>
        <v>0.25664153185639343</v>
      </c>
      <c r="AF67">
        <f>SUM(Y$2:Y67)</f>
        <v>0.11347482261458129</v>
      </c>
      <c r="AG67">
        <f>SUM(Z$2:Z67)</f>
        <v>0.34224788226945929</v>
      </c>
    </row>
    <row r="68" spans="1:33" x14ac:dyDescent="0.35">
      <c r="A68" s="2">
        <v>45352</v>
      </c>
      <c r="B68">
        <v>4.8755789297694152</v>
      </c>
      <c r="C68">
        <v>4.7382685839340493</v>
      </c>
      <c r="D68">
        <v>4.59360131614386</v>
      </c>
      <c r="E68">
        <v>4.8448987094622211</v>
      </c>
      <c r="F68">
        <v>4.8364853326270456</v>
      </c>
      <c r="G68">
        <v>4.7580227163623023</v>
      </c>
      <c r="H68">
        <v>4.7683591827047609</v>
      </c>
      <c r="I68">
        <v>4.7634804600073641</v>
      </c>
      <c r="J68">
        <v>4.787109060943866</v>
      </c>
      <c r="L68" s="3">
        <f t="shared" si="15"/>
        <v>1.8854131073427798E-2</v>
      </c>
      <c r="M68" s="3">
        <f t="shared" si="16"/>
        <v>7.9511374585962885E-2</v>
      </c>
      <c r="N68" s="3">
        <f t="shared" si="9"/>
        <v>9.4127591809796429E-4</v>
      </c>
      <c r="O68" s="3">
        <f t="shared" si="10"/>
        <v>1.5283093375298882E-3</v>
      </c>
      <c r="P68" s="3">
        <f t="shared" si="11"/>
        <v>1.3819463310618662E-2</v>
      </c>
      <c r="Q68" s="3">
        <f t="shared" si="12"/>
        <v>1.1496074160608447E-2</v>
      </c>
      <c r="R68" s="3">
        <f t="shared" si="13"/>
        <v>1.2566066922993478E-2</v>
      </c>
      <c r="S68" s="3">
        <f t="shared" si="14"/>
        <v>7.82691769000988E-3</v>
      </c>
      <c r="U68" s="3">
        <f t="shared" si="17"/>
        <v>1.7912855155329834E-2</v>
      </c>
      <c r="V68" s="3">
        <f t="shared" si="18"/>
        <v>7.7983065248433001E-2</v>
      </c>
      <c r="W68" s="3">
        <f t="shared" si="19"/>
        <v>5.0346677628091367E-3</v>
      </c>
      <c r="X68" s="3">
        <f t="shared" si="20"/>
        <v>6.8015300425354433E-2</v>
      </c>
      <c r="Y68" s="3">
        <f t="shared" si="21"/>
        <v>6.2880641504343207E-3</v>
      </c>
      <c r="Z68" s="3">
        <f t="shared" si="22"/>
        <v>7.1684456895953E-2</v>
      </c>
      <c r="AB68">
        <f>SUM(U$2:U68)</f>
        <v>0.20490406697622668</v>
      </c>
      <c r="AC68">
        <f>SUM(V$2:V68)</f>
        <v>0.35475815545000111</v>
      </c>
      <c r="AD68">
        <f>SUM(W$2:W68)</f>
        <v>0.1162569359630823</v>
      </c>
      <c r="AE68">
        <f>SUM(X$2:X68)</f>
        <v>0.32465683228174785</v>
      </c>
      <c r="AF68">
        <f>SUM(Y$2:Y68)</f>
        <v>0.11976288676501562</v>
      </c>
      <c r="AG68">
        <f>SUM(Z$2:Z68)</f>
        <v>0.41393233916541228</v>
      </c>
    </row>
    <row r="69" spans="1:33" x14ac:dyDescent="0.35">
      <c r="A69" s="2">
        <v>45383</v>
      </c>
      <c r="B69">
        <v>4.8148636895778969</v>
      </c>
      <c r="C69">
        <v>4.7904720462072472</v>
      </c>
      <c r="D69">
        <v>4.5932469225372996</v>
      </c>
      <c r="E69">
        <v>4.7354195853769818</v>
      </c>
      <c r="F69">
        <v>4.7353114348963423</v>
      </c>
      <c r="G69">
        <v>4.7095802458011526</v>
      </c>
      <c r="H69">
        <v>4.7217428011438702</v>
      </c>
      <c r="I69">
        <v>4.7310611430986134</v>
      </c>
      <c r="J69">
        <v>4.7286675645903422</v>
      </c>
      <c r="L69" s="3">
        <f t="shared" si="15"/>
        <v>5.9495226632095926E-4</v>
      </c>
      <c r="M69" s="3">
        <f t="shared" si="16"/>
        <v>4.911399143352637E-2</v>
      </c>
      <c r="N69" s="3">
        <f t="shared" si="9"/>
        <v>6.311365692285853E-3</v>
      </c>
      <c r="O69" s="3">
        <f t="shared" si="10"/>
        <v>6.3285612249189228E-3</v>
      </c>
      <c r="P69" s="3">
        <f t="shared" si="11"/>
        <v>1.108460353349087E-2</v>
      </c>
      <c r="Q69" s="3">
        <f t="shared" si="12"/>
        <v>8.6714998627424409E-3</v>
      </c>
      <c r="R69" s="3">
        <f t="shared" si="13"/>
        <v>7.0228667964124776E-3</v>
      </c>
      <c r="S69" s="3">
        <f t="shared" si="14"/>
        <v>7.4297719628701499E-3</v>
      </c>
      <c r="U69" s="3">
        <f t="shared" si="17"/>
        <v>-5.7164134259648936E-3</v>
      </c>
      <c r="V69" s="3">
        <f t="shared" si="18"/>
        <v>4.278543020860745E-2</v>
      </c>
      <c r="W69" s="3">
        <f t="shared" si="19"/>
        <v>-1.048965126716991E-2</v>
      </c>
      <c r="X69" s="3">
        <f t="shared" si="20"/>
        <v>4.0442491570783931E-2</v>
      </c>
      <c r="Y69" s="3">
        <f t="shared" si="21"/>
        <v>-6.4279145300915183E-3</v>
      </c>
      <c r="Z69" s="3">
        <f t="shared" si="22"/>
        <v>4.1684219470656217E-2</v>
      </c>
      <c r="AB69">
        <f>SUM(U$2:U69)</f>
        <v>0.19918765355026177</v>
      </c>
      <c r="AC69">
        <f>SUM(V$2:V69)</f>
        <v>0.39754358565860859</v>
      </c>
      <c r="AD69">
        <f>SUM(W$2:W69)</f>
        <v>0.10576728469591239</v>
      </c>
      <c r="AE69">
        <f>SUM(X$2:X69)</f>
        <v>0.3650993238525318</v>
      </c>
      <c r="AF69">
        <f>SUM(Y$2:Y69)</f>
        <v>0.1133349722349241</v>
      </c>
      <c r="AG69">
        <f>SUM(Z$2:Z69)</f>
        <v>0.45561655863606848</v>
      </c>
    </row>
    <row r="70" spans="1:33" x14ac:dyDescent="0.35">
      <c r="A70" s="2">
        <v>45413</v>
      </c>
      <c r="B70">
        <v>4.5482823237810432</v>
      </c>
      <c r="C70">
        <v>4.6494923063166818</v>
      </c>
      <c r="D70">
        <v>4.5948792831526388</v>
      </c>
      <c r="E70">
        <v>4.6693484697289902</v>
      </c>
      <c r="F70">
        <v>4.5685277655486534</v>
      </c>
      <c r="G70">
        <v>4.6491771853755726</v>
      </c>
      <c r="H70">
        <v>4.6323703201074524</v>
      </c>
      <c r="I70">
        <v>4.6489403533913682</v>
      </c>
      <c r="J70">
        <v>4.6438367395621638</v>
      </c>
      <c r="L70" s="3">
        <f t="shared" si="15"/>
        <v>1.0243460564864252E-2</v>
      </c>
      <c r="M70" s="3">
        <f t="shared" si="16"/>
        <v>2.1712766226781293E-3</v>
      </c>
      <c r="N70" s="3">
        <f t="shared" si="9"/>
        <v>1.4657011694689593E-2</v>
      </c>
      <c r="O70" s="3">
        <f t="shared" si="10"/>
        <v>4.0987791236569228E-4</v>
      </c>
      <c r="P70" s="3">
        <f t="shared" si="11"/>
        <v>1.0179773096179227E-2</v>
      </c>
      <c r="Q70" s="3">
        <f t="shared" si="12"/>
        <v>7.0707911261902031E-3</v>
      </c>
      <c r="R70" s="3">
        <f t="shared" si="13"/>
        <v>1.0132038925033063E-2</v>
      </c>
      <c r="S70" s="3">
        <f t="shared" si="14"/>
        <v>9.1306463752712629E-3</v>
      </c>
      <c r="U70" s="3">
        <f t="shared" si="17"/>
        <v>-4.4135511298253414E-3</v>
      </c>
      <c r="V70" s="3">
        <f t="shared" si="18"/>
        <v>1.7613987103124371E-3</v>
      </c>
      <c r="W70" s="3">
        <f t="shared" si="19"/>
        <v>6.368746868502459E-5</v>
      </c>
      <c r="X70" s="3">
        <f t="shared" si="20"/>
        <v>-4.8995145035120738E-3</v>
      </c>
      <c r="Y70" s="3">
        <f t="shared" si="21"/>
        <v>1.1142163983118847E-4</v>
      </c>
      <c r="Z70" s="3">
        <f t="shared" si="22"/>
        <v>-6.9593697525931336E-3</v>
      </c>
      <c r="AB70">
        <f>SUM(U$2:U70)</f>
        <v>0.19477410242043644</v>
      </c>
      <c r="AC70">
        <f>SUM(V$2:V70)</f>
        <v>0.39930498436892103</v>
      </c>
      <c r="AD70">
        <f>SUM(W$2:W70)</f>
        <v>0.10583097216459741</v>
      </c>
      <c r="AE70">
        <f>SUM(X$2:X70)</f>
        <v>0.36019980934901974</v>
      </c>
      <c r="AF70">
        <f>SUM(Y$2:Y70)</f>
        <v>0.11344639387475529</v>
      </c>
      <c r="AG70">
        <f>SUM(Z$2:Z70)</f>
        <v>0.44865718888347533</v>
      </c>
    </row>
    <row r="71" spans="1:33" x14ac:dyDescent="0.35">
      <c r="A71" s="2">
        <v>45444</v>
      </c>
      <c r="B71">
        <v>4.5894472255228553</v>
      </c>
      <c r="C71">
        <v>4.4398597065455716</v>
      </c>
      <c r="D71">
        <v>4.5953744084415584</v>
      </c>
      <c r="E71">
        <v>4.5556382436215781</v>
      </c>
      <c r="F71">
        <v>4.553376651136265</v>
      </c>
      <c r="G71">
        <v>4.5963882518504811</v>
      </c>
      <c r="H71">
        <v>4.5863726768962172</v>
      </c>
      <c r="I71">
        <v>4.5693358902499561</v>
      </c>
      <c r="J71">
        <v>4.5536112020270973</v>
      </c>
      <c r="L71" s="3">
        <f t="shared" si="15"/>
        <v>2.2376425833779221E-2</v>
      </c>
      <c r="M71" s="3">
        <f t="shared" si="16"/>
        <v>3.5131497351765667E-5</v>
      </c>
      <c r="N71" s="3">
        <f t="shared" si="9"/>
        <v>1.1430472572008916E-3</v>
      </c>
      <c r="O71" s="3">
        <f t="shared" si="10"/>
        <v>1.3010863365785468E-3</v>
      </c>
      <c r="P71" s="3">
        <f t="shared" si="11"/>
        <v>4.8177846480793408E-5</v>
      </c>
      <c r="Q71" s="3">
        <f t="shared" si="12"/>
        <v>9.4528492575624763E-6</v>
      </c>
      <c r="R71" s="3">
        <f t="shared" si="13"/>
        <v>4.0446580645896001E-4</v>
      </c>
      <c r="S71" s="3">
        <f t="shared" si="14"/>
        <v>1.2842205799885183E-3</v>
      </c>
      <c r="U71" s="3">
        <f t="shared" si="17"/>
        <v>2.1233378576578331E-2</v>
      </c>
      <c r="V71" s="3">
        <f t="shared" si="18"/>
        <v>-1.2659548392267811E-3</v>
      </c>
      <c r="W71" s="3">
        <f t="shared" si="19"/>
        <v>2.2328247987298426E-2</v>
      </c>
      <c r="X71" s="3">
        <f t="shared" si="20"/>
        <v>2.5678648094203189E-5</v>
      </c>
      <c r="Y71" s="3">
        <f t="shared" si="21"/>
        <v>2.1971960027320263E-2</v>
      </c>
      <c r="Z71" s="3">
        <f t="shared" si="22"/>
        <v>-1.2490890826367526E-3</v>
      </c>
      <c r="AB71">
        <f>SUM(U$2:U71)</f>
        <v>0.21600748099701478</v>
      </c>
      <c r="AC71">
        <f>SUM(V$2:V71)</f>
        <v>0.39803902952969428</v>
      </c>
      <c r="AD71">
        <f>SUM(W$2:W71)</f>
        <v>0.12815922015189585</v>
      </c>
      <c r="AE71">
        <f>SUM(X$2:X71)</f>
        <v>0.36022548799711396</v>
      </c>
      <c r="AF71">
        <f>SUM(Y$2:Y71)</f>
        <v>0.13541835390207554</v>
      </c>
      <c r="AG71">
        <f>SUM(Z$2:Z71)</f>
        <v>0.44740809980083857</v>
      </c>
    </row>
    <row r="72" spans="1:33" x14ac:dyDescent="0.35">
      <c r="A72" s="2">
        <v>45474</v>
      </c>
      <c r="B72">
        <v>4.6276163748179213</v>
      </c>
      <c r="C72">
        <v>4.6852580438320786</v>
      </c>
      <c r="D72">
        <v>4.5947371261483427</v>
      </c>
      <c r="E72">
        <v>4.5884797191455053</v>
      </c>
      <c r="F72">
        <v>4.5476281110371364</v>
      </c>
      <c r="G72">
        <v>4.6003511939628163</v>
      </c>
      <c r="H72">
        <v>4.5729481161282877</v>
      </c>
      <c r="I72">
        <v>4.5723667900417988</v>
      </c>
      <c r="J72">
        <v>4.5502109086551679</v>
      </c>
      <c r="L72" s="3">
        <f t="shared" si="15"/>
        <v>3.3225620067376545E-3</v>
      </c>
      <c r="M72" s="3">
        <f t="shared" si="16"/>
        <v>1.0810449930759853E-3</v>
      </c>
      <c r="N72" s="3">
        <f t="shared" si="9"/>
        <v>1.5316778172212496E-3</v>
      </c>
      <c r="O72" s="3">
        <f t="shared" si="10"/>
        <v>6.3981223426644316E-3</v>
      </c>
      <c r="P72" s="3">
        <f t="shared" si="11"/>
        <v>7.4339008706158355E-4</v>
      </c>
      <c r="Q72" s="3">
        <f t="shared" si="12"/>
        <v>2.9886185081567053E-3</v>
      </c>
      <c r="R72" s="3">
        <f t="shared" si="13"/>
        <v>3.0525166179339491E-3</v>
      </c>
      <c r="S72" s="3">
        <f t="shared" si="14"/>
        <v>5.9916061918731701E-3</v>
      </c>
      <c r="U72" s="3">
        <f t="shared" si="17"/>
        <v>1.7908841895164049E-3</v>
      </c>
      <c r="V72" s="3">
        <f t="shared" si="18"/>
        <v>-5.3170773495884466E-3</v>
      </c>
      <c r="W72" s="3">
        <f t="shared" si="19"/>
        <v>2.5791719196760709E-3</v>
      </c>
      <c r="X72" s="3">
        <f t="shared" si="20"/>
        <v>-1.9075735150807199E-3</v>
      </c>
      <c r="Y72" s="3">
        <f t="shared" si="21"/>
        <v>2.7004538880370538E-4</v>
      </c>
      <c r="Z72" s="3">
        <f t="shared" si="22"/>
        <v>-4.9105611987971844E-3</v>
      </c>
      <c r="AB72">
        <f>SUM(U$2:U72)</f>
        <v>0.21779836518653117</v>
      </c>
      <c r="AC72">
        <f>SUM(V$2:V72)</f>
        <v>0.3927219521801058</v>
      </c>
      <c r="AD72">
        <f>SUM(W$2:W72)</f>
        <v>0.13073839207157192</v>
      </c>
      <c r="AE72">
        <f>SUM(X$2:X72)</f>
        <v>0.35831791448203326</v>
      </c>
      <c r="AF72">
        <f>SUM(Y$2:Y72)</f>
        <v>0.13568839929087925</v>
      </c>
      <c r="AG72">
        <f>SUM(Z$2:Z72)</f>
        <v>0.44249753860204138</v>
      </c>
    </row>
    <row r="73" spans="1:33" x14ac:dyDescent="0.35">
      <c r="A73" s="2">
        <v>45505</v>
      </c>
      <c r="B73">
        <v>4.6168022702177991</v>
      </c>
      <c r="C73">
        <v>4.5875523934957529</v>
      </c>
      <c r="D73">
        <v>4.5966192123345184</v>
      </c>
      <c r="E73">
        <v>4.6230968975065538</v>
      </c>
      <c r="F73">
        <v>4.5810704624170686</v>
      </c>
      <c r="G73">
        <v>4.605484912484223</v>
      </c>
      <c r="H73">
        <v>4.5870184852416456</v>
      </c>
      <c r="I73">
        <v>4.5756032827902464</v>
      </c>
      <c r="J73">
        <v>4.5595536436194211</v>
      </c>
      <c r="L73" s="3">
        <f t="shared" si="15"/>
        <v>8.5555528825489741E-4</v>
      </c>
      <c r="M73" s="3">
        <f t="shared" si="16"/>
        <v>4.0735582551985818E-4</v>
      </c>
      <c r="N73" s="3">
        <f t="shared" si="9"/>
        <v>3.9622332704335844E-5</v>
      </c>
      <c r="O73" s="3">
        <f t="shared" si="10"/>
        <v>1.2767620887083441E-3</v>
      </c>
      <c r="P73" s="3">
        <f t="shared" si="11"/>
        <v>1.2808258606973513E-4</v>
      </c>
      <c r="Q73" s="3">
        <f t="shared" si="12"/>
        <v>8.8707384750574857E-4</v>
      </c>
      <c r="R73" s="3">
        <f t="shared" si="13"/>
        <v>1.6973565650556439E-3</v>
      </c>
      <c r="S73" s="3">
        <f t="shared" si="14"/>
        <v>3.2774052474005173E-3</v>
      </c>
      <c r="U73" s="3">
        <f t="shared" si="17"/>
        <v>8.1593295555056154E-4</v>
      </c>
      <c r="V73" s="3">
        <f t="shared" si="18"/>
        <v>-8.6940626318848596E-4</v>
      </c>
      <c r="W73" s="3">
        <f t="shared" si="19"/>
        <v>7.2747270218516229E-4</v>
      </c>
      <c r="X73" s="3">
        <f t="shared" si="20"/>
        <v>-4.7971802198589039E-4</v>
      </c>
      <c r="Y73" s="3">
        <f t="shared" si="21"/>
        <v>-8.4180127680074648E-4</v>
      </c>
      <c r="Z73" s="3">
        <f t="shared" si="22"/>
        <v>-2.8700494218806593E-3</v>
      </c>
      <c r="AB73">
        <f>SUM(U$2:U73)</f>
        <v>0.21861429814208175</v>
      </c>
      <c r="AC73">
        <f>SUM(V$2:V73)</f>
        <v>0.39185254591691732</v>
      </c>
      <c r="AD73">
        <f>SUM(W$2:W73)</f>
        <v>0.13146586477375707</v>
      </c>
      <c r="AE73">
        <f>SUM(X$2:X73)</f>
        <v>0.35783819646004739</v>
      </c>
      <c r="AF73">
        <f>SUM(Y$2:Y73)</f>
        <v>0.1348465980140785</v>
      </c>
      <c r="AG73">
        <f>SUM(Z$2:Z73)</f>
        <v>0.4396274891801607</v>
      </c>
    </row>
    <row r="74" spans="1:33" x14ac:dyDescent="0.35">
      <c r="A74" s="2">
        <v>45536</v>
      </c>
      <c r="B74">
        <v>4.5885325448350676</v>
      </c>
      <c r="C74">
        <v>4.6088358004423897</v>
      </c>
      <c r="D74">
        <v>4.5954221503479298</v>
      </c>
      <c r="E74">
        <v>4.5894456428140762</v>
      </c>
      <c r="F74">
        <v>4.5720890375058971</v>
      </c>
      <c r="G74">
        <v>4.5739563144648034</v>
      </c>
      <c r="H74">
        <v>4.5529846942941941</v>
      </c>
      <c r="I74">
        <v>4.5727877180445304</v>
      </c>
      <c r="J74">
        <v>4.5493584535175007</v>
      </c>
      <c r="L74" s="3">
        <f t="shared" si="15"/>
        <v>4.1222218825625863E-4</v>
      </c>
      <c r="M74" s="3">
        <f t="shared" si="16"/>
        <v>4.7466664122861464E-5</v>
      </c>
      <c r="N74" s="3">
        <f t="shared" si="9"/>
        <v>8.3374791926963677E-7</v>
      </c>
      <c r="O74" s="3">
        <f t="shared" si="10"/>
        <v>2.7038893328448186E-4</v>
      </c>
      <c r="P74" s="3">
        <f t="shared" si="11"/>
        <v>2.124664918070101E-4</v>
      </c>
      <c r="Q74" s="3">
        <f t="shared" si="12"/>
        <v>1.2636496780762806E-3</v>
      </c>
      <c r="R74" s="3">
        <f t="shared" si="13"/>
        <v>2.478995706640156E-4</v>
      </c>
      <c r="S74" s="3">
        <f t="shared" si="14"/>
        <v>1.5346094305570691E-3</v>
      </c>
      <c r="U74" s="3">
        <f t="shared" si="17"/>
        <v>4.1138844033698898E-4</v>
      </c>
      <c r="V74" s="3">
        <f t="shared" si="18"/>
        <v>-2.2292226916162039E-4</v>
      </c>
      <c r="W74" s="3">
        <f t="shared" si="19"/>
        <v>1.9975569644924853E-4</v>
      </c>
      <c r="X74" s="3">
        <f t="shared" si="20"/>
        <v>-1.2161830139534192E-3</v>
      </c>
      <c r="Y74" s="3">
        <f t="shared" si="21"/>
        <v>1.6432261759224303E-4</v>
      </c>
      <c r="Z74" s="3">
        <f t="shared" si="22"/>
        <v>-1.4871427664342077E-3</v>
      </c>
      <c r="AB74">
        <f>SUM(U$2:U74)</f>
        <v>0.21902568658241875</v>
      </c>
      <c r="AC74">
        <f>SUM(V$2:V74)</f>
        <v>0.39162962364775572</v>
      </c>
      <c r="AD74">
        <f>SUM(W$2:W74)</f>
        <v>0.13166562047020633</v>
      </c>
      <c r="AE74">
        <f>SUM(X$2:X74)</f>
        <v>0.35662201344609396</v>
      </c>
      <c r="AF74">
        <f>SUM(Y$2:Y74)</f>
        <v>0.13501092063167075</v>
      </c>
      <c r="AG74">
        <f>SUM(Z$2:Z74)</f>
        <v>0.43814034641372651</v>
      </c>
    </row>
    <row r="75" spans="1:33" x14ac:dyDescent="0.35">
      <c r="A75" s="2">
        <v>45566</v>
      </c>
      <c r="B75">
        <v>4.6510036023312633</v>
      </c>
      <c r="C75">
        <v>4.5494915216003617</v>
      </c>
      <c r="D75">
        <v>4.5950249023653136</v>
      </c>
      <c r="E75">
        <v>4.6169828224137976</v>
      </c>
      <c r="F75">
        <v>4.5715486744091054</v>
      </c>
      <c r="G75">
        <v>4.5936560561130451</v>
      </c>
      <c r="H75">
        <v>4.5701054889439519</v>
      </c>
      <c r="I75">
        <v>4.5886267109215293</v>
      </c>
      <c r="J75">
        <v>4.565766080847002</v>
      </c>
      <c r="L75" s="3">
        <f t="shared" si="15"/>
        <v>1.0304702534317077E-2</v>
      </c>
      <c r="M75" s="3">
        <f t="shared" si="16"/>
        <v>3.1336148498778203E-3</v>
      </c>
      <c r="N75" s="3">
        <f t="shared" si="9"/>
        <v>1.1574134661926348E-3</v>
      </c>
      <c r="O75" s="3">
        <f t="shared" si="10"/>
        <v>6.3130855711153091E-3</v>
      </c>
      <c r="P75" s="3">
        <f t="shared" si="11"/>
        <v>3.2887410572506781E-3</v>
      </c>
      <c r="Q75" s="3">
        <f t="shared" si="12"/>
        <v>6.5445047496263007E-3</v>
      </c>
      <c r="R75" s="3">
        <f t="shared" si="13"/>
        <v>3.8908765819417493E-3</v>
      </c>
      <c r="S75" s="3">
        <f t="shared" si="14"/>
        <v>7.265435068779913E-3</v>
      </c>
      <c r="U75" s="3">
        <f t="shared" si="17"/>
        <v>9.147289068124443E-3</v>
      </c>
      <c r="V75" s="3">
        <f t="shared" si="18"/>
        <v>-3.1794707212374888E-3</v>
      </c>
      <c r="W75" s="3">
        <f t="shared" si="19"/>
        <v>7.0159614770663997E-3</v>
      </c>
      <c r="X75" s="3">
        <f t="shared" si="20"/>
        <v>-3.4108898997484804E-3</v>
      </c>
      <c r="Y75" s="3">
        <f t="shared" si="21"/>
        <v>6.4138259523753276E-3</v>
      </c>
      <c r="Z75" s="3">
        <f t="shared" si="22"/>
        <v>-4.1318202189020922E-3</v>
      </c>
      <c r="AB75">
        <f>SUM(U$2:U75)</f>
        <v>0.2281729756505432</v>
      </c>
      <c r="AC75">
        <f>SUM(V$2:V75)</f>
        <v>0.38845015292651824</v>
      </c>
      <c r="AD75">
        <f>SUM(W$2:W75)</f>
        <v>0.13868158194727273</v>
      </c>
      <c r="AE75">
        <f>SUM(X$2:X75)</f>
        <v>0.35321112354634548</v>
      </c>
      <c r="AF75">
        <f>SUM(Y$2:Y75)</f>
        <v>0.14142474658404608</v>
      </c>
      <c r="AG75">
        <f>SUM(Z$2:Z75)</f>
        <v>0.43400852619482444</v>
      </c>
    </row>
    <row r="76" spans="1:33" x14ac:dyDescent="0.35">
      <c r="A76" s="2">
        <v>45597</v>
      </c>
      <c r="B76">
        <v>4.6413092326039642</v>
      </c>
      <c r="C76">
        <v>4.6933541119791959</v>
      </c>
      <c r="D76">
        <v>4.5949513672688491</v>
      </c>
      <c r="E76">
        <v>4.6418513652058229</v>
      </c>
      <c r="F76">
        <v>4.5995729781468793</v>
      </c>
      <c r="G76">
        <v>4.6185580544046214</v>
      </c>
      <c r="H76">
        <v>4.5940114173306377</v>
      </c>
      <c r="I76">
        <v>4.606490656529056</v>
      </c>
      <c r="J76">
        <v>4.5789964890938961</v>
      </c>
      <c r="L76" s="3">
        <f t="shared" si="15"/>
        <v>2.7086694691824203E-3</v>
      </c>
      <c r="M76" s="3">
        <f t="shared" si="16"/>
        <v>2.1490516784286665E-3</v>
      </c>
      <c r="N76" s="3">
        <f t="shared" si="9"/>
        <v>2.9390775799802624E-7</v>
      </c>
      <c r="O76" s="3">
        <f t="shared" si="10"/>
        <v>1.7419149361065436E-3</v>
      </c>
      <c r="P76" s="3">
        <f t="shared" si="11"/>
        <v>5.176161094582512E-4</v>
      </c>
      <c r="Q76" s="3">
        <f t="shared" si="12"/>
        <v>2.2370833296297223E-3</v>
      </c>
      <c r="R76" s="3">
        <f t="shared" si="13"/>
        <v>1.2123332398841723E-3</v>
      </c>
      <c r="S76" s="3">
        <f t="shared" si="14"/>
        <v>3.8828780037515344E-3</v>
      </c>
      <c r="U76" s="3">
        <f t="shared" si="17"/>
        <v>2.7083755614244224E-3</v>
      </c>
      <c r="V76" s="3">
        <f t="shared" si="18"/>
        <v>4.0713674232212282E-4</v>
      </c>
      <c r="W76" s="3">
        <f t="shared" si="19"/>
        <v>2.191053359724169E-3</v>
      </c>
      <c r="X76" s="3">
        <f t="shared" si="20"/>
        <v>-8.8031651201055886E-5</v>
      </c>
      <c r="Y76" s="3">
        <f t="shared" si="21"/>
        <v>1.4963362292982479E-3</v>
      </c>
      <c r="Z76" s="3">
        <f t="shared" si="22"/>
        <v>-1.733826325322868E-3</v>
      </c>
      <c r="AB76">
        <f>SUM(U$2:U76)</f>
        <v>0.23088135121196762</v>
      </c>
      <c r="AC76">
        <f>SUM(V$2:V76)</f>
        <v>0.38885728966884037</v>
      </c>
      <c r="AD76">
        <f>SUM(W$2:W76)</f>
        <v>0.1408726353069969</v>
      </c>
      <c r="AE76">
        <f>SUM(X$2:X76)</f>
        <v>0.3531230918951444</v>
      </c>
      <c r="AF76">
        <f>SUM(Y$2:Y76)</f>
        <v>0.14292108281334431</v>
      </c>
      <c r="AG76">
        <f>SUM(Z$2:Z76)</f>
        <v>0.43227469986950157</v>
      </c>
    </row>
    <row r="77" spans="1:33" x14ac:dyDescent="0.35">
      <c r="A77" s="2">
        <v>45627</v>
      </c>
      <c r="B77">
        <v>4.6166045636137536</v>
      </c>
      <c r="C77">
        <v>4.5668220056251174</v>
      </c>
      <c r="D77">
        <v>4.5956571487595248</v>
      </c>
      <c r="E77">
        <v>4.6402468059554414</v>
      </c>
      <c r="F77">
        <v>4.5789985826827984</v>
      </c>
      <c r="G77">
        <v>4.6326870451856319</v>
      </c>
      <c r="H77">
        <v>4.5920088384196163</v>
      </c>
      <c r="I77">
        <v>4.6038899566866833</v>
      </c>
      <c r="J77">
        <v>4.5761936600293884</v>
      </c>
      <c r="L77" s="3">
        <f t="shared" si="15"/>
        <v>2.4783030798919236E-3</v>
      </c>
      <c r="M77" s="3">
        <f t="shared" si="16"/>
        <v>4.3879418907516525E-4</v>
      </c>
      <c r="N77" s="3">
        <f t="shared" si="9"/>
        <v>5.58955622943094E-4</v>
      </c>
      <c r="O77" s="3">
        <f t="shared" si="10"/>
        <v>1.4142098017793693E-3</v>
      </c>
      <c r="P77" s="3">
        <f t="shared" si="11"/>
        <v>2.5864621350980523E-4</v>
      </c>
      <c r="Q77" s="3">
        <f t="shared" si="12"/>
        <v>6.0494969782552178E-4</v>
      </c>
      <c r="R77" s="3">
        <f t="shared" si="13"/>
        <v>1.6166122930990332E-4</v>
      </c>
      <c r="S77" s="3">
        <f t="shared" si="14"/>
        <v>1.6330411285048574E-3</v>
      </c>
      <c r="U77" s="3">
        <f t="shared" si="17"/>
        <v>1.9193474569488295E-3</v>
      </c>
      <c r="V77" s="3">
        <f t="shared" si="18"/>
        <v>-9.7541561270420409E-4</v>
      </c>
      <c r="W77" s="3">
        <f t="shared" si="19"/>
        <v>2.2196568663821184E-3</v>
      </c>
      <c r="X77" s="3">
        <f t="shared" si="20"/>
        <v>-1.6615550875035654E-4</v>
      </c>
      <c r="Y77" s="3">
        <f t="shared" si="21"/>
        <v>2.3166418505820201E-3</v>
      </c>
      <c r="Z77" s="3">
        <f t="shared" si="22"/>
        <v>-1.1942469394296922E-3</v>
      </c>
      <c r="AB77">
        <f>SUM(U$2:U77)</f>
        <v>0.23280069866891645</v>
      </c>
      <c r="AC77">
        <f>SUM(V$2:V77)</f>
        <v>0.38788187405613617</v>
      </c>
      <c r="AD77">
        <f>SUM(W$2:W77)</f>
        <v>0.14309229217337902</v>
      </c>
      <c r="AE77">
        <f>SUM(X$2:X77)</f>
        <v>0.35295693638639403</v>
      </c>
      <c r="AF77">
        <f>SUM(Y$2:Y77)</f>
        <v>0.14523772466392634</v>
      </c>
      <c r="AG77">
        <f>SUM(Z$2:Z77)</f>
        <v>0.43108045293007186</v>
      </c>
    </row>
    <row r="78" spans="1:33" x14ac:dyDescent="0.35">
      <c r="A78" s="2">
        <v>45658</v>
      </c>
      <c r="B78">
        <v>4.6500479447661771</v>
      </c>
      <c r="C78">
        <v>4.6710332858941523</v>
      </c>
      <c r="D78">
        <v>4.5963559431528171</v>
      </c>
      <c r="E78">
        <v>4.6127224230802719</v>
      </c>
      <c r="F78">
        <v>4.5722842474343013</v>
      </c>
      <c r="G78">
        <v>4.6248654312862501</v>
      </c>
      <c r="H78">
        <v>4.6074192746971372</v>
      </c>
      <c r="I78">
        <v>4.6085153992479757</v>
      </c>
      <c r="J78">
        <v>4.591930874164758</v>
      </c>
      <c r="L78" s="3">
        <f t="shared" si="15"/>
        <v>4.4038454225748879E-4</v>
      </c>
      <c r="M78" s="3">
        <f t="shared" si="16"/>
        <v>2.8828310372490491E-3</v>
      </c>
      <c r="N78" s="3">
        <f t="shared" si="9"/>
        <v>1.3931945691249789E-3</v>
      </c>
      <c r="O78" s="3">
        <f t="shared" si="10"/>
        <v>6.0471926227235913E-3</v>
      </c>
      <c r="P78" s="3">
        <f t="shared" si="11"/>
        <v>6.3415898516670809E-4</v>
      </c>
      <c r="Q78" s="3">
        <f t="shared" si="12"/>
        <v>1.8172035118550599E-3</v>
      </c>
      <c r="R78" s="3">
        <f t="shared" si="13"/>
        <v>1.7249523372214713E-3</v>
      </c>
      <c r="S78" s="3">
        <f t="shared" si="14"/>
        <v>3.3775938952903357E-3</v>
      </c>
      <c r="U78" s="3">
        <f t="shared" si="17"/>
        <v>-9.5281002686749012E-4</v>
      </c>
      <c r="V78" s="3">
        <f t="shared" si="18"/>
        <v>-3.1643615854745422E-3</v>
      </c>
      <c r="W78" s="3">
        <f t="shared" si="19"/>
        <v>-1.937744429092193E-4</v>
      </c>
      <c r="X78" s="3">
        <f t="shared" si="20"/>
        <v>1.0656275253939891E-3</v>
      </c>
      <c r="Y78" s="3">
        <f t="shared" si="21"/>
        <v>-1.2845677949639826E-3</v>
      </c>
      <c r="Z78" s="3">
        <f t="shared" si="22"/>
        <v>-4.9476285804128661E-4</v>
      </c>
      <c r="AB78">
        <f>SUM(U$2:U78)</f>
        <v>0.23184788864204897</v>
      </c>
      <c r="AC78">
        <f>SUM(V$2:V78)</f>
        <v>0.3847175124706616</v>
      </c>
      <c r="AD78">
        <f>SUM(W$2:W78)</f>
        <v>0.1428985177304698</v>
      </c>
      <c r="AE78">
        <f>SUM(X$2:X78)</f>
        <v>0.35402256391178799</v>
      </c>
      <c r="AF78">
        <f>SUM(Y$2:Y78)</f>
        <v>0.14395315686896237</v>
      </c>
      <c r="AG78">
        <f>SUM(Z$2:Z78)</f>
        <v>0.43058569007203057</v>
      </c>
    </row>
    <row r="79" spans="1:33" x14ac:dyDescent="0.35">
      <c r="A79" s="2">
        <v>45689</v>
      </c>
      <c r="B79">
        <v>4.7051060146006911</v>
      </c>
      <c r="C79">
        <v>4.6185272170036713</v>
      </c>
      <c r="D79">
        <v>4.5984842574071729</v>
      </c>
      <c r="E79">
        <v>4.7026183973286741</v>
      </c>
      <c r="F79">
        <v>4.6800126372655004</v>
      </c>
      <c r="G79">
        <v>4.6899238862143999</v>
      </c>
      <c r="H79">
        <v>4.671632223599393</v>
      </c>
      <c r="I79">
        <v>4.6887283033799987</v>
      </c>
      <c r="J79">
        <v>4.6750372911605389</v>
      </c>
      <c r="L79" s="3">
        <f t="shared" si="15"/>
        <v>7.4958881933457231E-3</v>
      </c>
      <c r="M79" s="3">
        <f t="shared" si="16"/>
        <v>1.1368199107033548E-2</v>
      </c>
      <c r="N79" s="3">
        <f t="shared" si="9"/>
        <v>6.1882396920371118E-6</v>
      </c>
      <c r="O79" s="3">
        <f t="shared" si="10"/>
        <v>6.2967758608626137E-4</v>
      </c>
      <c r="P79" s="3">
        <f t="shared" si="11"/>
        <v>2.304970223378285E-4</v>
      </c>
      <c r="Q79" s="3">
        <f t="shared" si="12"/>
        <v>1.1204946839985859E-3</v>
      </c>
      <c r="R79" s="3">
        <f t="shared" si="13"/>
        <v>2.6822942482839461E-4</v>
      </c>
      <c r="S79" s="3">
        <f t="shared" si="14"/>
        <v>9.0412812932035903E-4</v>
      </c>
      <c r="U79" s="3">
        <f t="shared" si="17"/>
        <v>7.4896999536536862E-3</v>
      </c>
      <c r="V79" s="3">
        <f t="shared" si="18"/>
        <v>1.0738521520947286E-2</v>
      </c>
      <c r="W79" s="3">
        <f t="shared" si="19"/>
        <v>7.2653911710078949E-3</v>
      </c>
      <c r="X79" s="3">
        <f t="shared" si="20"/>
        <v>1.0247704423034961E-2</v>
      </c>
      <c r="Y79" s="3">
        <f t="shared" si="21"/>
        <v>7.2276587685173284E-3</v>
      </c>
      <c r="Z79" s="3">
        <f t="shared" si="22"/>
        <v>1.0464070977713189E-2</v>
      </c>
      <c r="AB79">
        <f>SUM(U$2:U79)</f>
        <v>0.23933758859570264</v>
      </c>
      <c r="AC79">
        <f>SUM(V$2:V79)</f>
        <v>0.39545603399160889</v>
      </c>
      <c r="AD79">
        <f>SUM(W$2:W79)</f>
        <v>0.15016390890147768</v>
      </c>
      <c r="AE79">
        <f>SUM(X$2:X79)</f>
        <v>0.36427026833482296</v>
      </c>
      <c r="AF79">
        <f>SUM(Y$2:Y79)</f>
        <v>0.1511808156374797</v>
      </c>
      <c r="AG79">
        <f>SUM(Z$2:Z79)</f>
        <v>0.44104976104974375</v>
      </c>
    </row>
    <row r="80" spans="1:33" x14ac:dyDescent="0.35">
      <c r="A80" s="2">
        <v>45717</v>
      </c>
      <c r="B80">
        <v>4.8491354529945996</v>
      </c>
      <c r="C80">
        <v>4.6859777619627003</v>
      </c>
      <c r="D80">
        <v>4.6004414222414942</v>
      </c>
      <c r="E80">
        <v>4.8532458308498621</v>
      </c>
      <c r="F80">
        <v>4.8463129131532892</v>
      </c>
      <c r="G80">
        <v>4.7794800147768628</v>
      </c>
      <c r="H80">
        <v>4.7592853107908439</v>
      </c>
      <c r="I80">
        <v>4.816368653883206</v>
      </c>
      <c r="J80">
        <v>4.7537350061612651</v>
      </c>
      <c r="L80" s="3">
        <f t="shared" si="15"/>
        <v>2.6620432142860698E-2</v>
      </c>
      <c r="M80" s="3">
        <f t="shared" si="16"/>
        <v>6.1848720932226521E-2</v>
      </c>
      <c r="N80" s="3">
        <f t="shared" si="9"/>
        <v>1.6895206113032105E-5</v>
      </c>
      <c r="O80" s="3">
        <f t="shared" si="10"/>
        <v>7.9667311557846675E-6</v>
      </c>
      <c r="P80" s="3">
        <f t="shared" si="11"/>
        <v>4.8518800733049466E-3</v>
      </c>
      <c r="Q80" s="3">
        <f t="shared" si="12"/>
        <v>8.0730480540351108E-3</v>
      </c>
      <c r="R80" s="3">
        <f t="shared" si="13"/>
        <v>1.0736631240064226E-3</v>
      </c>
      <c r="S80" s="3">
        <f t="shared" si="14"/>
        <v>9.1012452559998801E-3</v>
      </c>
      <c r="U80" s="3">
        <f t="shared" si="17"/>
        <v>2.6603536936747666E-2</v>
      </c>
      <c r="V80" s="3">
        <f t="shared" si="18"/>
        <v>6.1840754201070734E-2</v>
      </c>
      <c r="W80" s="3">
        <f t="shared" si="19"/>
        <v>2.1768552069555754E-2</v>
      </c>
      <c r="X80" s="3">
        <f t="shared" si="20"/>
        <v>5.3775672878191412E-2</v>
      </c>
      <c r="Y80" s="3">
        <f t="shared" si="21"/>
        <v>2.5546769018854276E-2</v>
      </c>
      <c r="Z80" s="3">
        <f t="shared" si="22"/>
        <v>5.2747475676226639E-2</v>
      </c>
      <c r="AB80">
        <f>SUM(U$2:U80)</f>
        <v>0.26594112553245031</v>
      </c>
      <c r="AC80">
        <f>SUM(V$2:V80)</f>
        <v>0.4572967881926796</v>
      </c>
      <c r="AD80">
        <f>SUM(W$2:W80)</f>
        <v>0.17193246097103343</v>
      </c>
      <c r="AE80">
        <f>SUM(X$2:X80)</f>
        <v>0.41804594121301436</v>
      </c>
      <c r="AF80">
        <f>SUM(Y$2:Y80)</f>
        <v>0.17672758465633398</v>
      </c>
      <c r="AG80">
        <f>SUM(Z$2:Z80)</f>
        <v>0.49379723672597037</v>
      </c>
    </row>
    <row r="81" spans="1:33" x14ac:dyDescent="0.35">
      <c r="A81" s="2">
        <v>45748</v>
      </c>
      <c r="B81">
        <v>4.7612333216196792</v>
      </c>
      <c r="C81">
        <v>4.7746255837443163</v>
      </c>
      <c r="D81">
        <v>4.6018051261932564</v>
      </c>
      <c r="E81">
        <v>4.7444964898302224</v>
      </c>
      <c r="F81">
        <v>4.7789077220678227</v>
      </c>
      <c r="G81">
        <v>4.7221235834721194</v>
      </c>
      <c r="H81">
        <v>4.7043305925480281</v>
      </c>
      <c r="I81">
        <v>4.7728469262998354</v>
      </c>
      <c r="J81">
        <v>4.73485651184241</v>
      </c>
      <c r="L81" s="3">
        <f t="shared" si="15"/>
        <v>1.793526848149915E-4</v>
      </c>
      <c r="M81" s="3">
        <f t="shared" si="16"/>
        <v>2.5417349496925635E-2</v>
      </c>
      <c r="N81" s="3">
        <f t="shared" si="9"/>
        <v>2.8012153834856937E-4</v>
      </c>
      <c r="O81" s="3">
        <f t="shared" si="10"/>
        <v>3.1238443120133519E-4</v>
      </c>
      <c r="P81" s="3">
        <f t="shared" si="11"/>
        <v>1.5295716179706946E-3</v>
      </c>
      <c r="Q81" s="3">
        <f t="shared" si="12"/>
        <v>3.2379205758017227E-3</v>
      </c>
      <c r="R81" s="3">
        <f t="shared" si="13"/>
        <v>1.348758136669475E-4</v>
      </c>
      <c r="S81" s="3">
        <f t="shared" si="14"/>
        <v>6.9573609402624379E-4</v>
      </c>
      <c r="U81" s="3">
        <f t="shared" si="17"/>
        <v>-1.0076885353357788E-4</v>
      </c>
      <c r="V81" s="3">
        <f t="shared" si="18"/>
        <v>2.5104965065724301E-2</v>
      </c>
      <c r="W81" s="3">
        <f t="shared" si="19"/>
        <v>-1.3502189331557031E-3</v>
      </c>
      <c r="X81" s="3">
        <f t="shared" si="20"/>
        <v>2.2179428921123911E-2</v>
      </c>
      <c r="Y81" s="3">
        <f t="shared" si="21"/>
        <v>4.4476871148044E-5</v>
      </c>
      <c r="Z81" s="3">
        <f t="shared" si="22"/>
        <v>2.4721613402899391E-2</v>
      </c>
      <c r="AB81">
        <f>SUM(U$2:U81)</f>
        <v>0.26584035667891676</v>
      </c>
      <c r="AC81">
        <f>SUM(V$2:V81)</f>
        <v>0.4824017532584039</v>
      </c>
      <c r="AD81">
        <f>SUM(W$2:W81)</f>
        <v>0.17058224203787772</v>
      </c>
      <c r="AE81">
        <f>SUM(X$2:X81)</f>
        <v>0.44022537013413826</v>
      </c>
      <c r="AF81">
        <f>SUM(Y$2:Y81)</f>
        <v>0.17677206152748201</v>
      </c>
      <c r="AG81">
        <f>SUM(Z$2:Z81)</f>
        <v>0.51851885012886978</v>
      </c>
    </row>
    <row r="82" spans="1:33" x14ac:dyDescent="0.35">
      <c r="A82" s="2">
        <v>45778</v>
      </c>
      <c r="B82">
        <v>4.6449676558621578</v>
      </c>
      <c r="C82">
        <v>4.6273729858393544</v>
      </c>
      <c r="D82">
        <v>4.6010658465957226</v>
      </c>
      <c r="E82">
        <v>4.6334713550561268</v>
      </c>
      <c r="F82">
        <v>4.6021386635910657</v>
      </c>
      <c r="G82">
        <v>4.641531623646582</v>
      </c>
      <c r="H82">
        <v>4.5917984220537766</v>
      </c>
      <c r="I82">
        <v>4.6326944132264991</v>
      </c>
      <c r="J82">
        <v>4.5962475544176913</v>
      </c>
      <c r="L82" s="3">
        <f t="shared" si="15"/>
        <v>3.0957241321133481E-4</v>
      </c>
      <c r="M82" s="3">
        <f t="shared" si="16"/>
        <v>1.9273688568664526E-3</v>
      </c>
      <c r="N82" s="3">
        <f t="shared" ref="N82" si="23">(E82-$B82)^2</f>
        <v>1.3216493222274726E-4</v>
      </c>
      <c r="O82" s="3">
        <f t="shared" ref="O82" si="24">(F82-$B82)^2</f>
        <v>1.8343225789572623E-3</v>
      </c>
      <c r="P82" s="3">
        <f t="shared" ref="P82" si="25">(G82-$B82)^2</f>
        <v>1.1806317386474446E-5</v>
      </c>
      <c r="Q82" s="3">
        <f t="shared" ref="Q82" si="26">(H82-$B82)^2</f>
        <v>2.826967423770298E-3</v>
      </c>
      <c r="R82" s="3">
        <f t="shared" ref="R82" si="27">(I82-$B82)^2</f>
        <v>1.5063248479374941E-4</v>
      </c>
      <c r="S82" s="3">
        <f t="shared" ref="S82" si="28">(J82-$B82)^2</f>
        <v>2.3736482847591047E-3</v>
      </c>
      <c r="U82" s="3">
        <f t="shared" si="17"/>
        <v>1.7740748098858756E-4</v>
      </c>
      <c r="V82" s="3">
        <f t="shared" si="18"/>
        <v>9.3046277909190293E-5</v>
      </c>
      <c r="W82" s="3">
        <f t="shared" si="19"/>
        <v>2.9776609582486034E-4</v>
      </c>
      <c r="X82" s="3">
        <f t="shared" si="20"/>
        <v>-8.9959856690384542E-4</v>
      </c>
      <c r="Y82" s="3">
        <f t="shared" si="21"/>
        <v>1.5893992841758541E-4</v>
      </c>
      <c r="Z82" s="3">
        <f t="shared" si="22"/>
        <v>-4.4627942789265203E-4</v>
      </c>
      <c r="AB82">
        <f>SUM(U$2:U82)</f>
        <v>0.26601776415990536</v>
      </c>
      <c r="AC82">
        <f>SUM(V$2:V82)</f>
        <v>0.48249479953631308</v>
      </c>
      <c r="AD82">
        <f>SUM(W$2:W82)</f>
        <v>0.17088000813370258</v>
      </c>
      <c r="AE82">
        <f>SUM(X$2:X82)</f>
        <v>0.4393257715672344</v>
      </c>
      <c r="AF82">
        <f>SUM(Y$2:Y82)</f>
        <v>0.1769310014558996</v>
      </c>
      <c r="AG82">
        <f>SUM(Z$2:Z82)</f>
        <v>0.51807257070097712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Eduarda Sayago</cp:lastModifiedBy>
  <dcterms:created xsi:type="dcterms:W3CDTF">2025-10-29T22:30:47Z</dcterms:created>
  <dcterms:modified xsi:type="dcterms:W3CDTF">2025-10-29T22:46:41Z</dcterms:modified>
</cp:coreProperties>
</file>